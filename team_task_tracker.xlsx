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busyraoryza/Proton/"/>
    </mc:Choice>
  </mc:AlternateContent>
  <xr:revisionPtr revIDLastSave="0" documentId="13_ncr:1_{23ADDFB6-F99B-5F4C-B782-1988FF0679AC}" xr6:coauthVersionLast="47" xr6:coauthVersionMax="47" xr10:uidLastSave="{00000000-0000-0000-0000-000000000000}"/>
  <bookViews>
    <workbookView xWindow="0" yWindow="600" windowWidth="26080" windowHeight="15100" tabRatio="500" xr2:uid="{00000000-000D-0000-FFFF-FFFF00000000}"/>
  </bookViews>
  <sheets>
    <sheet name="Task Tracker" sheetId="1" r:id="rId1"/>
    <sheet name="Team Members" sheetId="2" r:id="rId2"/>
    <sheet name="Brands" sheetId="3" r:id="rId3"/>
    <sheet name="Summary" sheetId="4" r:id="rId4"/>
  </sheets>
  <definedNames>
    <definedName name="_xlnm._FilterDatabase" localSheetId="0" hidden="1">'Task Tracker'!$A$4:$K$40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0" i="4" l="1"/>
  <c r="E30" i="4"/>
  <c r="D30" i="4"/>
  <c r="C30" i="4"/>
  <c r="B30" i="4"/>
  <c r="F29" i="4"/>
  <c r="E29" i="4"/>
  <c r="D29" i="4"/>
  <c r="C29" i="4"/>
  <c r="B29" i="4"/>
  <c r="F28" i="4"/>
  <c r="E28" i="4"/>
  <c r="D28" i="4"/>
  <c r="C28" i="4"/>
  <c r="B28" i="4"/>
  <c r="F27" i="4"/>
  <c r="E27" i="4"/>
  <c r="D27" i="4"/>
  <c r="C27" i="4"/>
  <c r="B27" i="4"/>
  <c r="F26" i="4"/>
  <c r="E26" i="4"/>
  <c r="D26" i="4"/>
  <c r="C26" i="4"/>
  <c r="B26" i="4"/>
  <c r="F21" i="4"/>
  <c r="E21" i="4"/>
  <c r="D21" i="4"/>
  <c r="C21" i="4"/>
  <c r="B21" i="4"/>
  <c r="F20" i="4"/>
  <c r="E20" i="4"/>
  <c r="D20" i="4"/>
  <c r="C20" i="4"/>
  <c r="B20" i="4"/>
  <c r="F19" i="4"/>
  <c r="E19" i="4"/>
  <c r="D19" i="4"/>
  <c r="C19" i="4"/>
  <c r="B19" i="4"/>
  <c r="F18" i="4"/>
  <c r="E18" i="4"/>
  <c r="D18" i="4"/>
  <c r="C18" i="4"/>
  <c r="B18" i="4"/>
  <c r="F17" i="4"/>
  <c r="E17" i="4"/>
  <c r="D17" i="4"/>
  <c r="C17" i="4"/>
  <c r="B17" i="4"/>
  <c r="F16" i="4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B10" i="4"/>
  <c r="B6" i="4"/>
  <c r="B5" i="4"/>
  <c r="B4" i="4"/>
  <c r="B3" i="4"/>
</calcChain>
</file>

<file path=xl/sharedStrings.xml><?xml version="1.0" encoding="utf-8"?>
<sst xmlns="http://schemas.openxmlformats.org/spreadsheetml/2006/main" count="396" uniqueCount="171">
  <si>
    <t>TEAM TASK &amp; PRODUCTIVITY TRACKER</t>
  </si>
  <si>
    <t>Track assignments, deadlines, and workload across all team members and brands</t>
  </si>
  <si>
    <t>Task ID</t>
  </si>
  <si>
    <t>Task Name</t>
  </si>
  <si>
    <t>Assigned To</t>
  </si>
  <si>
    <t>Brand</t>
  </si>
  <si>
    <t>Task Type</t>
  </si>
  <si>
    <t>Priority</t>
  </si>
  <si>
    <t>Status</t>
  </si>
  <si>
    <t>Start Date</t>
  </si>
  <si>
    <t>Deadline</t>
  </si>
  <si>
    <t>Completion Date</t>
  </si>
  <si>
    <t>Notes</t>
  </si>
  <si>
    <t>TSK-001</t>
  </si>
  <si>
    <t>Instagram Reels - Product Launch</t>
  </si>
  <si>
    <t>Dimas Prasetyo</t>
  </si>
  <si>
    <t>Brand Alpha</t>
  </si>
  <si>
    <t>Social Media Post</t>
  </si>
  <si>
    <t>Medium</t>
  </si>
  <si>
    <t>In Progress</t>
  </si>
  <si>
    <t>TSK-002</t>
  </si>
  <si>
    <t>Facebook Ad Campaign Q2</t>
  </si>
  <si>
    <t>Brand Epsilon</t>
  </si>
  <si>
    <t>Video Production</t>
  </si>
  <si>
    <t>Not Started</t>
  </si>
  <si>
    <t>TSK-003</t>
  </si>
  <si>
    <t>Brand Guidelines Update</t>
  </si>
  <si>
    <t>Dewi Lestari</t>
  </si>
  <si>
    <t>Brand Guidelines</t>
  </si>
  <si>
    <t>High</t>
  </si>
  <si>
    <t>TSK-004</t>
  </si>
  <si>
    <t>Monthly Newsletter Draft</t>
  </si>
  <si>
    <t>Fajar Nugroho</t>
  </si>
  <si>
    <t>Brand Beta</t>
  </si>
  <si>
    <t>Email Marketing</t>
  </si>
  <si>
    <t>Completed</t>
  </si>
  <si>
    <t>TSK-005</t>
  </si>
  <si>
    <t>TikTok Content Calendar</t>
  </si>
  <si>
    <t>Putri Wulandari</t>
  </si>
  <si>
    <t>Brand Gamma</t>
  </si>
  <si>
    <t>Graphic Design</t>
  </si>
  <si>
    <t>TSK-006</t>
  </si>
  <si>
    <t>Product Photography Session</t>
  </si>
  <si>
    <t>Siti Rahayu</t>
  </si>
  <si>
    <t>Ad Management</t>
  </si>
  <si>
    <t>TSK-007</t>
  </si>
  <si>
    <t>Website Banner Design</t>
  </si>
  <si>
    <t>Photography</t>
  </si>
  <si>
    <t>In Review</t>
  </si>
  <si>
    <t>TSK-008</t>
  </si>
  <si>
    <t>Email Drip Campaign Setup</t>
  </si>
  <si>
    <t>TSK-009</t>
  </si>
  <si>
    <t>Influencer Outreach List</t>
  </si>
  <si>
    <t>TSK-010</t>
  </si>
  <si>
    <t>YouTube Video Editing</t>
  </si>
  <si>
    <t>Event Planning</t>
  </si>
  <si>
    <t>Low</t>
  </si>
  <si>
    <t>TSK-011</t>
  </si>
  <si>
    <t>Blog Post - Industry Trends</t>
  </si>
  <si>
    <t>Hendra Wijaya</t>
  </si>
  <si>
    <t>TSK-012</t>
  </si>
  <si>
    <t>Press Release Draft</t>
  </si>
  <si>
    <t>TSK-013</t>
  </si>
  <si>
    <t>Social Media Audit Report</t>
  </si>
  <si>
    <t>Rizki Hidayat</t>
  </si>
  <si>
    <t>Copywriting</t>
  </si>
  <si>
    <t>TSK-014</t>
  </si>
  <si>
    <t>Google Ads Optimization</t>
  </si>
  <si>
    <t>Brand Delta</t>
  </si>
  <si>
    <t>Content Strategy</t>
  </si>
  <si>
    <t>TSK-015</t>
  </si>
  <si>
    <t>Landing Page Wireframe</t>
  </si>
  <si>
    <t>Budi Santoso</t>
  </si>
  <si>
    <t>TSK-016</t>
  </si>
  <si>
    <t>Customer Testimonial Video</t>
  </si>
  <si>
    <t>Maya Kusuma</t>
  </si>
  <si>
    <t>On Hold</t>
  </si>
  <si>
    <t>TSK-017</t>
  </si>
  <si>
    <t>Podcast Episode Editing</t>
  </si>
  <si>
    <t>TSK-018</t>
  </si>
  <si>
    <t>Competitor Analysis Report</t>
  </si>
  <si>
    <t>TSK-019</t>
  </si>
  <si>
    <t>Whitepapers Design Layout</t>
  </si>
  <si>
    <t>Market Research</t>
  </si>
  <si>
    <t>TSK-020</t>
  </si>
  <si>
    <t>Trade Show Materials</t>
  </si>
  <si>
    <t>TSK-021</t>
  </si>
  <si>
    <t>Holiday Campaign Planning</t>
  </si>
  <si>
    <t>TSK-022</t>
  </si>
  <si>
    <t>SEO Content Brief</t>
  </si>
  <si>
    <t>TSK-023</t>
  </si>
  <si>
    <t>Brand Awareness Survey</t>
  </si>
  <si>
    <t>Anita Sari</t>
  </si>
  <si>
    <t>TSK-024</t>
  </si>
  <si>
    <t>Partnership Proposal Deck</t>
  </si>
  <si>
    <t>Adi Pratama</t>
  </si>
  <si>
    <t>TSK-025</t>
  </si>
  <si>
    <t>Weekly Analytics Report</t>
  </si>
  <si>
    <t>TSK-026</t>
  </si>
  <si>
    <t>Creative Brief - New Product</t>
  </si>
  <si>
    <t>TSK-027</t>
  </si>
  <si>
    <t>Radio Ad Script</t>
  </si>
  <si>
    <t>Rina Fitriani</t>
  </si>
  <si>
    <t>TSK-028</t>
  </si>
  <si>
    <t>Billboard Design Concept</t>
  </si>
  <si>
    <t>TSK-029</t>
  </si>
  <si>
    <t>App Store Screenshots</t>
  </si>
  <si>
    <t>TSK-030</t>
  </si>
  <si>
    <t>Loyalty Program Email</t>
  </si>
  <si>
    <t>TSK-031</t>
  </si>
  <si>
    <t>Webinar Presentation Slides</t>
  </si>
  <si>
    <t>TSK-032</t>
  </si>
  <si>
    <t>Annual Report Design</t>
  </si>
  <si>
    <t>TSK-033</t>
  </si>
  <si>
    <t>Social Listening Report</t>
  </si>
  <si>
    <t>TSK-034</t>
  </si>
  <si>
    <t>Rebranding Mood Board</t>
  </si>
  <si>
    <t>TSK-035</t>
  </si>
  <si>
    <t>Video Testimonials Edit</t>
  </si>
  <si>
    <t>TSK-036</t>
  </si>
  <si>
    <t>Content Repurposing Plan</t>
  </si>
  <si>
    <t>TEAM DIRECTORY</t>
  </si>
  <si>
    <t>Name</t>
  </si>
  <si>
    <t>Role</t>
  </si>
  <si>
    <t>Department</t>
  </si>
  <si>
    <t>Max Capacity (tasks/week)</t>
  </si>
  <si>
    <t>Content Creator</t>
  </si>
  <si>
    <t>Content</t>
  </si>
  <si>
    <t>Graphic Designer</t>
  </si>
  <si>
    <t>Design</t>
  </si>
  <si>
    <t>Social Media Manager</t>
  </si>
  <si>
    <t>Social Media</t>
  </si>
  <si>
    <t>Copywriter</t>
  </si>
  <si>
    <t>Video Editor</t>
  </si>
  <si>
    <t>Production</t>
  </si>
  <si>
    <t>Campaign Manager</t>
  </si>
  <si>
    <t>Marketing</t>
  </si>
  <si>
    <t>Content Strategist</t>
  </si>
  <si>
    <t>Strategy</t>
  </si>
  <si>
    <t>Email Specialist</t>
  </si>
  <si>
    <t>Photographer</t>
  </si>
  <si>
    <t>Brand Manager</t>
  </si>
  <si>
    <t>Market Analyst</t>
  </si>
  <si>
    <t>Research</t>
  </si>
  <si>
    <t>Event Coordinator</t>
  </si>
  <si>
    <t>Events</t>
  </si>
  <si>
    <t>BRAND DIRECTORY</t>
  </si>
  <si>
    <t>Brand Name</t>
  </si>
  <si>
    <t>Industry</t>
  </si>
  <si>
    <t>Technology</t>
  </si>
  <si>
    <t>Active</t>
  </si>
  <si>
    <t>Finance</t>
  </si>
  <si>
    <t>TASK SUMMARY</t>
  </si>
  <si>
    <t>Total Tasks</t>
  </si>
  <si>
    <t>Overdue (past deadline, not completed)</t>
  </si>
  <si>
    <t>TASKS PER TEAM MEMBER</t>
  </si>
  <si>
    <t>Team Member</t>
  </si>
  <si>
    <t>Total</t>
  </si>
  <si>
    <t>TASKS PER BRAND</t>
  </si>
  <si>
    <t>Tunova</t>
  </si>
  <si>
    <t>Bank Mantap</t>
  </si>
  <si>
    <t>Barklay</t>
  </si>
  <si>
    <t>Natasha</t>
  </si>
  <si>
    <t>NaavaGreen</t>
  </si>
  <si>
    <t>Beauty &amp; Skincare</t>
  </si>
  <si>
    <t>Pet</t>
  </si>
  <si>
    <t>TSK-037</t>
  </si>
  <si>
    <t>TSK-038</t>
  </si>
  <si>
    <t>TSK-039</t>
  </si>
  <si>
    <t>TSK-040</t>
  </si>
  <si>
    <t>TSK-041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</si>
</sst>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3" x14ac:knownFonts="1">
    <font>
      <sz val="11"/>
      <color theme="1"/>
      <name val="Calibri"/>
      <family val="2"/>
      <charset val="1"/>
    </font>
    <font>
      <b/>
      <sz val="16"/>
      <color rgb="FF1B2A4A"/>
      <name val="Arial"/>
      <family val="2"/>
    </font>
    <font>
      <i/>
      <sz val="10"/>
      <color rgb="FF667085"/>
      <name val="Arial"/>
      <family val="2"/>
    </font>
    <font>
      <b/>
      <sz val="11"/>
      <color rgb="FFFFFFFF"/>
      <name val="Arial"/>
      <family val="2"/>
    </font>
    <font>
      <sz val="10"/>
      <color rgb="FF667085"/>
      <name val="Arial"/>
      <family val="2"/>
    </font>
    <font>
      <sz val="10"/>
      <color rgb="FF333333"/>
      <name val="Arial"/>
      <family val="2"/>
    </font>
    <font>
      <b/>
      <sz val="10"/>
      <color rgb="FFD97706"/>
      <name val="Arial"/>
      <family val="2"/>
    </font>
    <font>
      <b/>
      <sz val="10"/>
      <color rgb="FFDC2626"/>
      <name val="Arial"/>
      <family val="2"/>
    </font>
    <font>
      <b/>
      <sz val="10"/>
      <color rgb="FF059669"/>
      <name val="Arial"/>
      <family val="2"/>
    </font>
    <font>
      <b/>
      <sz val="11"/>
      <color rgb="FF1B2A4A"/>
      <name val="Arial"/>
      <family val="2"/>
    </font>
    <font>
      <b/>
      <sz val="14"/>
      <color rgb="FF1B2A4A"/>
      <name val="Arial"/>
      <family val="2"/>
    </font>
    <font>
      <b/>
      <sz val="12"/>
      <color rgb="FF1B2A4A"/>
      <name val="Arial"/>
      <family val="2"/>
    </font>
    <font>
      <sz val="8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FEF3C7"/>
        <bgColor rgb="FFFEE2E2"/>
      </patternFill>
    </fill>
    <fill>
      <patternFill patternType="solid">
        <fgColor rgb="FFF9FAFB"/>
        <bgColor rgb="FFFFFFFF"/>
      </patternFill>
    </fill>
    <fill>
      <patternFill patternType="solid">
        <fgColor rgb="FFFEE2E2"/>
        <bgColor rgb="FFE5E7EB"/>
      </patternFill>
    </fill>
    <fill>
      <patternFill patternType="solid">
        <fgColor rgb="FFD1FAE5"/>
        <bgColor rgb="FFDBEAFE"/>
      </patternFill>
    </fill>
    <fill>
      <patternFill patternType="solid">
        <fgColor rgb="FFDBEAFE"/>
        <bgColor rgb="FFE5E7EB"/>
      </patternFill>
    </fill>
    <fill>
      <patternFill patternType="solid">
        <fgColor rgb="FFE5E7EB"/>
        <bgColor rgb="FFDBEAFE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/>
    <xf numFmtId="0" fontId="5" fillId="0" borderId="1" xfId="0" applyFont="1" applyBorder="1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D1FAE5"/>
      <rgbColor rgb="FFF9FAFB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67085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zoomScaleNormal="100" workbookViewId="0">
      <pane ySplit="4" topLeftCell="A23" activePane="bottomLeft" state="frozen"/>
      <selection pane="bottomLeft" activeCell="D47" sqref="D47"/>
    </sheetView>
  </sheetViews>
  <sheetFormatPr baseColWidth="10" defaultColWidth="8.6640625" defaultRowHeight="15" x14ac:dyDescent="0.2"/>
  <cols>
    <col min="1" max="1" width="10" customWidth="1"/>
    <col min="2" max="2" width="35" customWidth="1"/>
    <col min="3" max="5" width="18" customWidth="1"/>
    <col min="6" max="6" width="12" customWidth="1"/>
    <col min="7" max="9" width="14" customWidth="1"/>
    <col min="10" max="10" width="16" customWidth="1"/>
    <col min="11" max="11" width="30" customWidth="1"/>
  </cols>
  <sheetData>
    <row r="1" spans="1:11" ht="39.75" customHeight="1" x14ac:dyDescent="0.2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21.75" customHeight="1" x14ac:dyDescent="0.2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4" spans="1:11" ht="3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15" customHeight="1" x14ac:dyDescent="0.2">
      <c r="A5" s="2" t="s">
        <v>13</v>
      </c>
      <c r="B5" s="3" t="s">
        <v>14</v>
      </c>
      <c r="C5" s="4" t="s">
        <v>15</v>
      </c>
      <c r="D5" s="4" t="s">
        <v>159</v>
      </c>
      <c r="E5" s="4" t="s">
        <v>17</v>
      </c>
      <c r="F5" s="5" t="s">
        <v>18</v>
      </c>
      <c r="G5" s="6" t="s">
        <v>19</v>
      </c>
      <c r="H5" s="7">
        <v>46117</v>
      </c>
      <c r="I5" s="7">
        <v>46123</v>
      </c>
      <c r="J5" s="4"/>
      <c r="K5" s="3"/>
    </row>
    <row r="6" spans="1:11" ht="15" customHeight="1" x14ac:dyDescent="0.2">
      <c r="A6" s="8" t="s">
        <v>20</v>
      </c>
      <c r="B6" s="9" t="s">
        <v>21</v>
      </c>
      <c r="C6" s="10" t="s">
        <v>15</v>
      </c>
      <c r="D6" s="4" t="s">
        <v>159</v>
      </c>
      <c r="E6" s="10" t="s">
        <v>23</v>
      </c>
      <c r="F6" s="11" t="s">
        <v>18</v>
      </c>
      <c r="G6" s="12" t="s">
        <v>24</v>
      </c>
      <c r="H6" s="13">
        <v>46115</v>
      </c>
      <c r="I6" s="13">
        <v>46124</v>
      </c>
      <c r="J6" s="10"/>
      <c r="K6" s="9"/>
    </row>
    <row r="7" spans="1:11" ht="15" customHeight="1" x14ac:dyDescent="0.2">
      <c r="A7" s="2" t="s">
        <v>25</v>
      </c>
      <c r="B7" s="3" t="s">
        <v>26</v>
      </c>
      <c r="C7" s="4" t="s">
        <v>27</v>
      </c>
      <c r="D7" s="4" t="s">
        <v>159</v>
      </c>
      <c r="E7" s="4" t="s">
        <v>28</v>
      </c>
      <c r="F7" s="14" t="s">
        <v>29</v>
      </c>
      <c r="G7" s="6" t="s">
        <v>19</v>
      </c>
      <c r="H7" s="7">
        <v>46133</v>
      </c>
      <c r="I7" s="7">
        <v>46153</v>
      </c>
      <c r="J7" s="4"/>
      <c r="K7" s="3"/>
    </row>
    <row r="8" spans="1:11" ht="15" customHeight="1" x14ac:dyDescent="0.2">
      <c r="A8" s="8" t="s">
        <v>30</v>
      </c>
      <c r="B8" s="9" t="s">
        <v>31</v>
      </c>
      <c r="C8" s="10" t="s">
        <v>32</v>
      </c>
      <c r="D8" s="4" t="s">
        <v>159</v>
      </c>
      <c r="E8" s="10" t="s">
        <v>34</v>
      </c>
      <c r="F8" s="11" t="s">
        <v>18</v>
      </c>
      <c r="G8" s="15" t="s">
        <v>35</v>
      </c>
      <c r="H8" s="13">
        <v>46113</v>
      </c>
      <c r="I8" s="13">
        <v>46121</v>
      </c>
      <c r="J8" s="13">
        <v>46118</v>
      </c>
      <c r="K8" s="9"/>
    </row>
    <row r="9" spans="1:11" ht="15" customHeight="1" x14ac:dyDescent="0.2">
      <c r="A9" s="2" t="s">
        <v>36</v>
      </c>
      <c r="B9" s="3" t="s">
        <v>37</v>
      </c>
      <c r="C9" s="4" t="s">
        <v>38</v>
      </c>
      <c r="D9" s="4" t="s">
        <v>159</v>
      </c>
      <c r="E9" s="4" t="s">
        <v>40</v>
      </c>
      <c r="F9" s="14" t="s">
        <v>29</v>
      </c>
      <c r="G9" s="15" t="s">
        <v>35</v>
      </c>
      <c r="H9" s="7">
        <v>46116</v>
      </c>
      <c r="I9" s="7">
        <v>46121</v>
      </c>
      <c r="J9" s="7">
        <v>46118</v>
      </c>
      <c r="K9" s="3"/>
    </row>
    <row r="10" spans="1:11" ht="15" customHeight="1" x14ac:dyDescent="0.2">
      <c r="A10" s="8" t="s">
        <v>41</v>
      </c>
      <c r="B10" s="9" t="s">
        <v>42</v>
      </c>
      <c r="C10" s="10" t="s">
        <v>43</v>
      </c>
      <c r="D10" s="4" t="s">
        <v>159</v>
      </c>
      <c r="E10" s="10" t="s">
        <v>44</v>
      </c>
      <c r="F10" s="11" t="s">
        <v>18</v>
      </c>
      <c r="G10" s="15" t="s">
        <v>35</v>
      </c>
      <c r="H10" s="13">
        <v>46136</v>
      </c>
      <c r="I10" s="13">
        <v>46153</v>
      </c>
      <c r="J10" s="13">
        <v>46153</v>
      </c>
      <c r="K10" s="9"/>
    </row>
    <row r="11" spans="1:11" ht="15" customHeight="1" x14ac:dyDescent="0.2">
      <c r="A11" s="2" t="s">
        <v>45</v>
      </c>
      <c r="B11" s="3" t="s">
        <v>46</v>
      </c>
      <c r="C11" s="4" t="s">
        <v>32</v>
      </c>
      <c r="D11" s="4" t="s">
        <v>159</v>
      </c>
      <c r="E11" s="4" t="s">
        <v>47</v>
      </c>
      <c r="F11" s="14" t="s">
        <v>29</v>
      </c>
      <c r="G11" s="16" t="s">
        <v>48</v>
      </c>
      <c r="H11" s="7">
        <v>46124</v>
      </c>
      <c r="I11" s="7">
        <v>46145</v>
      </c>
      <c r="J11" s="4"/>
      <c r="K11" s="3"/>
    </row>
    <row r="12" spans="1:11" ht="15" customHeight="1" x14ac:dyDescent="0.2">
      <c r="A12" s="8" t="s">
        <v>49</v>
      </c>
      <c r="B12" s="9" t="s">
        <v>50</v>
      </c>
      <c r="C12" s="10" t="s">
        <v>27</v>
      </c>
      <c r="D12" s="4" t="s">
        <v>159</v>
      </c>
      <c r="E12" s="10" t="s">
        <v>17</v>
      </c>
      <c r="F12" s="11" t="s">
        <v>18</v>
      </c>
      <c r="G12" s="15" t="s">
        <v>35</v>
      </c>
      <c r="H12" s="13">
        <v>46115</v>
      </c>
      <c r="I12" s="13">
        <v>46125</v>
      </c>
      <c r="J12" s="13">
        <v>46125</v>
      </c>
      <c r="K12" s="9"/>
    </row>
    <row r="13" spans="1:11" ht="15" customHeight="1" x14ac:dyDescent="0.2">
      <c r="A13" s="2" t="s">
        <v>51</v>
      </c>
      <c r="B13" s="3" t="s">
        <v>52</v>
      </c>
      <c r="C13" s="4" t="s">
        <v>32</v>
      </c>
      <c r="D13" s="4" t="s">
        <v>159</v>
      </c>
      <c r="E13" s="4" t="s">
        <v>34</v>
      </c>
      <c r="F13" s="5" t="s">
        <v>18</v>
      </c>
      <c r="G13" s="6" t="s">
        <v>19</v>
      </c>
      <c r="H13" s="7">
        <v>46124</v>
      </c>
      <c r="I13" s="7">
        <v>46138</v>
      </c>
      <c r="J13" s="4"/>
      <c r="K13" s="3"/>
    </row>
    <row r="14" spans="1:11" ht="15" customHeight="1" x14ac:dyDescent="0.2">
      <c r="A14" s="8" t="s">
        <v>53</v>
      </c>
      <c r="B14" s="9" t="s">
        <v>54</v>
      </c>
      <c r="C14" s="10" t="s">
        <v>27</v>
      </c>
      <c r="D14" s="4" t="s">
        <v>159</v>
      </c>
      <c r="E14" s="10" t="s">
        <v>55</v>
      </c>
      <c r="F14" s="17" t="s">
        <v>56</v>
      </c>
      <c r="G14" s="16" t="s">
        <v>48</v>
      </c>
      <c r="H14" s="13">
        <v>46132</v>
      </c>
      <c r="I14" s="13">
        <v>46140</v>
      </c>
      <c r="J14" s="10"/>
      <c r="K14" s="9"/>
    </row>
    <row r="15" spans="1:11" ht="15" customHeight="1" x14ac:dyDescent="0.2">
      <c r="A15" s="2" t="s">
        <v>57</v>
      </c>
      <c r="B15" s="3" t="s">
        <v>58</v>
      </c>
      <c r="C15" s="4" t="s">
        <v>59</v>
      </c>
      <c r="D15" s="4" t="s">
        <v>159</v>
      </c>
      <c r="E15" s="4" t="s">
        <v>40</v>
      </c>
      <c r="F15" s="5" t="s">
        <v>18</v>
      </c>
      <c r="G15" s="6" t="s">
        <v>19</v>
      </c>
      <c r="H15" s="7">
        <v>46133</v>
      </c>
      <c r="I15" s="7">
        <v>46153</v>
      </c>
      <c r="J15" s="4"/>
      <c r="K15" s="3"/>
    </row>
    <row r="16" spans="1:11" ht="15" customHeight="1" x14ac:dyDescent="0.2">
      <c r="A16" s="8" t="s">
        <v>60</v>
      </c>
      <c r="B16" s="9" t="s">
        <v>61</v>
      </c>
      <c r="C16" s="10" t="s">
        <v>27</v>
      </c>
      <c r="D16" s="4" t="s">
        <v>159</v>
      </c>
      <c r="E16" s="10" t="s">
        <v>17</v>
      </c>
      <c r="F16" s="18" t="s">
        <v>29</v>
      </c>
      <c r="G16" s="12" t="s">
        <v>24</v>
      </c>
      <c r="H16" s="13">
        <v>46123</v>
      </c>
      <c r="I16" s="13">
        <v>46138</v>
      </c>
      <c r="J16" s="10"/>
      <c r="K16" s="9"/>
    </row>
    <row r="17" spans="1:11" ht="15" customHeight="1" x14ac:dyDescent="0.2">
      <c r="A17" s="2" t="s">
        <v>62</v>
      </c>
      <c r="B17" s="3" t="s">
        <v>63</v>
      </c>
      <c r="C17" s="4" t="s">
        <v>64</v>
      </c>
      <c r="D17" s="4" t="s">
        <v>159</v>
      </c>
      <c r="E17" s="4" t="s">
        <v>65</v>
      </c>
      <c r="F17" s="19" t="s">
        <v>56</v>
      </c>
      <c r="G17" s="16" t="s">
        <v>48</v>
      </c>
      <c r="H17" s="7">
        <v>46135</v>
      </c>
      <c r="I17" s="7">
        <v>46148</v>
      </c>
      <c r="J17" s="4"/>
      <c r="K17" s="3"/>
    </row>
    <row r="18" spans="1:11" ht="15" customHeight="1" x14ac:dyDescent="0.2">
      <c r="A18" s="8" t="s">
        <v>66</v>
      </c>
      <c r="B18" s="9" t="s">
        <v>67</v>
      </c>
      <c r="C18" s="10" t="s">
        <v>27</v>
      </c>
      <c r="D18" s="4" t="s">
        <v>159</v>
      </c>
      <c r="E18" s="10" t="s">
        <v>69</v>
      </c>
      <c r="F18" s="17" t="s">
        <v>56</v>
      </c>
      <c r="G18" s="16" t="s">
        <v>48</v>
      </c>
      <c r="H18" s="13">
        <v>46117</v>
      </c>
      <c r="I18" s="13">
        <v>46128</v>
      </c>
      <c r="J18" s="10"/>
      <c r="K18" s="9"/>
    </row>
    <row r="19" spans="1:11" ht="15" customHeight="1" x14ac:dyDescent="0.2">
      <c r="A19" s="2" t="s">
        <v>70</v>
      </c>
      <c r="B19" s="3" t="s">
        <v>71</v>
      </c>
      <c r="C19" s="4" t="s">
        <v>72</v>
      </c>
      <c r="D19" s="4" t="s">
        <v>159</v>
      </c>
      <c r="E19" s="4" t="s">
        <v>55</v>
      </c>
      <c r="F19" s="5" t="s">
        <v>18</v>
      </c>
      <c r="G19" s="6" t="s">
        <v>19</v>
      </c>
      <c r="H19" s="7">
        <v>46131</v>
      </c>
      <c r="I19" s="7">
        <v>46147</v>
      </c>
      <c r="J19" s="4"/>
      <c r="K19" s="3"/>
    </row>
    <row r="20" spans="1:11" ht="15" customHeight="1" x14ac:dyDescent="0.2">
      <c r="A20" s="8" t="s">
        <v>73</v>
      </c>
      <c r="B20" s="9" t="s">
        <v>74</v>
      </c>
      <c r="C20" s="10" t="s">
        <v>75</v>
      </c>
      <c r="D20" s="10" t="s">
        <v>162</v>
      </c>
      <c r="E20" s="10" t="s">
        <v>44</v>
      </c>
      <c r="F20" s="18" t="s">
        <v>29</v>
      </c>
      <c r="G20" s="20" t="s">
        <v>76</v>
      </c>
      <c r="H20" s="13">
        <v>46129</v>
      </c>
      <c r="I20" s="13">
        <v>46147</v>
      </c>
      <c r="J20" s="10"/>
      <c r="K20" s="9"/>
    </row>
    <row r="21" spans="1:11" ht="15" customHeight="1" x14ac:dyDescent="0.2">
      <c r="A21" s="2" t="s">
        <v>77</v>
      </c>
      <c r="B21" s="3" t="s">
        <v>78</v>
      </c>
      <c r="C21" s="4" t="s">
        <v>43</v>
      </c>
      <c r="D21" s="10" t="s">
        <v>162</v>
      </c>
      <c r="E21" s="4" t="s">
        <v>23</v>
      </c>
      <c r="F21" s="14" t="s">
        <v>29</v>
      </c>
      <c r="G21" s="12" t="s">
        <v>24</v>
      </c>
      <c r="H21" s="7">
        <v>46134</v>
      </c>
      <c r="I21" s="7">
        <v>46150</v>
      </c>
      <c r="J21" s="4"/>
      <c r="K21" s="3"/>
    </row>
    <row r="22" spans="1:11" ht="15" customHeight="1" x14ac:dyDescent="0.2">
      <c r="A22" s="8" t="s">
        <v>79</v>
      </c>
      <c r="B22" s="9" t="s">
        <v>80</v>
      </c>
      <c r="C22" s="10" t="s">
        <v>75</v>
      </c>
      <c r="D22" s="10" t="s">
        <v>162</v>
      </c>
      <c r="E22" s="10" t="s">
        <v>69</v>
      </c>
      <c r="F22" s="11" t="s">
        <v>18</v>
      </c>
      <c r="G22" s="20" t="s">
        <v>76</v>
      </c>
      <c r="H22" s="13">
        <v>46129</v>
      </c>
      <c r="I22" s="13">
        <v>46140</v>
      </c>
      <c r="J22" s="10"/>
      <c r="K22" s="9"/>
    </row>
    <row r="23" spans="1:11" ht="15" customHeight="1" x14ac:dyDescent="0.2">
      <c r="A23" s="2" t="s">
        <v>81</v>
      </c>
      <c r="B23" s="3" t="s">
        <v>82</v>
      </c>
      <c r="C23" s="4" t="s">
        <v>59</v>
      </c>
      <c r="D23" s="10" t="s">
        <v>162</v>
      </c>
      <c r="E23" s="4" t="s">
        <v>83</v>
      </c>
      <c r="F23" s="5" t="s">
        <v>18</v>
      </c>
      <c r="G23" s="15" t="s">
        <v>35</v>
      </c>
      <c r="H23" s="7">
        <v>46130</v>
      </c>
      <c r="I23" s="7">
        <v>46141</v>
      </c>
      <c r="J23" s="7">
        <v>46139</v>
      </c>
      <c r="K23" s="3"/>
    </row>
    <row r="24" spans="1:11" ht="15" customHeight="1" x14ac:dyDescent="0.2">
      <c r="A24" s="8" t="s">
        <v>84</v>
      </c>
      <c r="B24" s="9" t="s">
        <v>85</v>
      </c>
      <c r="C24" s="10" t="s">
        <v>43</v>
      </c>
      <c r="D24" s="10" t="s">
        <v>162</v>
      </c>
      <c r="E24" s="10" t="s">
        <v>69</v>
      </c>
      <c r="F24" s="18" t="s">
        <v>29</v>
      </c>
      <c r="G24" s="12" t="s">
        <v>24</v>
      </c>
      <c r="H24" s="13">
        <v>46136</v>
      </c>
      <c r="I24" s="13">
        <v>46147</v>
      </c>
      <c r="J24" s="10"/>
      <c r="K24" s="9"/>
    </row>
    <row r="25" spans="1:11" ht="15" customHeight="1" x14ac:dyDescent="0.2">
      <c r="A25" s="2" t="s">
        <v>86</v>
      </c>
      <c r="B25" s="3" t="s">
        <v>87</v>
      </c>
      <c r="C25" s="4" t="s">
        <v>59</v>
      </c>
      <c r="D25" s="10" t="s">
        <v>162</v>
      </c>
      <c r="E25" s="4" t="s">
        <v>47</v>
      </c>
      <c r="F25" s="19" t="s">
        <v>56</v>
      </c>
      <c r="G25" s="15" t="s">
        <v>35</v>
      </c>
      <c r="H25" s="7">
        <v>46122</v>
      </c>
      <c r="I25" s="7">
        <v>46141</v>
      </c>
      <c r="J25" s="7">
        <v>46140</v>
      </c>
      <c r="K25" s="3"/>
    </row>
    <row r="26" spans="1:11" ht="15" customHeight="1" x14ac:dyDescent="0.2">
      <c r="A26" s="8" t="s">
        <v>88</v>
      </c>
      <c r="B26" s="9" t="s">
        <v>89</v>
      </c>
      <c r="C26" s="10" t="s">
        <v>72</v>
      </c>
      <c r="D26" s="10" t="s">
        <v>162</v>
      </c>
      <c r="E26" s="10" t="s">
        <v>40</v>
      </c>
      <c r="F26" s="11" t="s">
        <v>18</v>
      </c>
      <c r="G26" s="15" t="s">
        <v>35</v>
      </c>
      <c r="H26" s="13">
        <v>46129</v>
      </c>
      <c r="I26" s="13">
        <v>46132</v>
      </c>
      <c r="J26" s="13">
        <v>46130</v>
      </c>
      <c r="K26" s="9"/>
    </row>
    <row r="27" spans="1:11" ht="15" customHeight="1" x14ac:dyDescent="0.2">
      <c r="A27" s="2" t="s">
        <v>90</v>
      </c>
      <c r="B27" s="3" t="s">
        <v>91</v>
      </c>
      <c r="C27" s="4" t="s">
        <v>92</v>
      </c>
      <c r="D27" s="10" t="s">
        <v>162</v>
      </c>
      <c r="E27" s="4" t="s">
        <v>23</v>
      </c>
      <c r="F27" s="19" t="s">
        <v>56</v>
      </c>
      <c r="G27" s="15" t="s">
        <v>35</v>
      </c>
      <c r="H27" s="7">
        <v>46138</v>
      </c>
      <c r="I27" s="7">
        <v>46150</v>
      </c>
      <c r="J27" s="7">
        <v>46149</v>
      </c>
      <c r="K27" s="3"/>
    </row>
    <row r="28" spans="1:11" ht="15" customHeight="1" x14ac:dyDescent="0.2">
      <c r="A28" s="8" t="s">
        <v>93</v>
      </c>
      <c r="B28" s="9" t="s">
        <v>94</v>
      </c>
      <c r="C28" s="10" t="s">
        <v>95</v>
      </c>
      <c r="D28" s="10" t="s">
        <v>162</v>
      </c>
      <c r="E28" s="10" t="s">
        <v>28</v>
      </c>
      <c r="F28" s="17" t="s">
        <v>56</v>
      </c>
      <c r="G28" s="12" t="s">
        <v>24</v>
      </c>
      <c r="H28" s="13">
        <v>46128</v>
      </c>
      <c r="I28" s="13">
        <v>46133</v>
      </c>
      <c r="J28" s="10"/>
      <c r="K28" s="9"/>
    </row>
    <row r="29" spans="1:11" ht="15" customHeight="1" x14ac:dyDescent="0.2">
      <c r="A29" s="2" t="s">
        <v>96</v>
      </c>
      <c r="B29" s="3" t="s">
        <v>97</v>
      </c>
      <c r="C29" s="4" t="s">
        <v>59</v>
      </c>
      <c r="D29" s="10" t="s">
        <v>162</v>
      </c>
      <c r="E29" s="4" t="s">
        <v>40</v>
      </c>
      <c r="F29" s="5" t="s">
        <v>18</v>
      </c>
      <c r="G29" s="20" t="s">
        <v>76</v>
      </c>
      <c r="H29" s="7">
        <v>46118</v>
      </c>
      <c r="I29" s="7">
        <v>46129</v>
      </c>
      <c r="J29" s="4"/>
      <c r="K29" s="3"/>
    </row>
    <row r="30" spans="1:11" ht="15" customHeight="1" x14ac:dyDescent="0.2">
      <c r="A30" s="8" t="s">
        <v>98</v>
      </c>
      <c r="B30" s="9" t="s">
        <v>99</v>
      </c>
      <c r="C30" s="10" t="s">
        <v>59</v>
      </c>
      <c r="D30" s="10" t="s">
        <v>162</v>
      </c>
      <c r="E30" s="10" t="s">
        <v>69</v>
      </c>
      <c r="F30" s="17" t="s">
        <v>56</v>
      </c>
      <c r="G30" s="20" t="s">
        <v>76</v>
      </c>
      <c r="H30" s="13">
        <v>46137</v>
      </c>
      <c r="I30" s="13">
        <v>46146</v>
      </c>
      <c r="J30" s="10"/>
      <c r="K30" s="9"/>
    </row>
    <row r="31" spans="1:11" ht="15" customHeight="1" x14ac:dyDescent="0.2">
      <c r="A31" s="2" t="s">
        <v>100</v>
      </c>
      <c r="B31" s="3" t="s">
        <v>101</v>
      </c>
      <c r="C31" s="4" t="s">
        <v>102</v>
      </c>
      <c r="D31" s="10" t="s">
        <v>162</v>
      </c>
      <c r="E31" s="4" t="s">
        <v>69</v>
      </c>
      <c r="F31" s="19" t="s">
        <v>56</v>
      </c>
      <c r="G31" s="16" t="s">
        <v>48</v>
      </c>
      <c r="H31" s="7">
        <v>46127</v>
      </c>
      <c r="I31" s="7">
        <v>46146</v>
      </c>
      <c r="J31" s="4"/>
      <c r="K31" s="3"/>
    </row>
    <row r="32" spans="1:11" ht="15" customHeight="1" x14ac:dyDescent="0.2">
      <c r="A32" s="8" t="s">
        <v>103</v>
      </c>
      <c r="B32" s="9" t="s">
        <v>104</v>
      </c>
      <c r="C32" s="10" t="s">
        <v>92</v>
      </c>
      <c r="D32" s="10" t="s">
        <v>162</v>
      </c>
      <c r="E32" s="10" t="s">
        <v>65</v>
      </c>
      <c r="F32" s="18" t="s">
        <v>29</v>
      </c>
      <c r="G32" s="6" t="s">
        <v>19</v>
      </c>
      <c r="H32" s="13">
        <v>46131</v>
      </c>
      <c r="I32" s="13">
        <v>46151</v>
      </c>
      <c r="J32" s="10"/>
      <c r="K32" s="9"/>
    </row>
    <row r="33" spans="1:11" ht="15" customHeight="1" x14ac:dyDescent="0.2">
      <c r="A33" s="2" t="s">
        <v>105</v>
      </c>
      <c r="B33" s="3" t="s">
        <v>106</v>
      </c>
      <c r="C33" s="4" t="s">
        <v>27</v>
      </c>
      <c r="D33" s="10" t="s">
        <v>162</v>
      </c>
      <c r="E33" s="4" t="s">
        <v>65</v>
      </c>
      <c r="F33" s="14" t="s">
        <v>29</v>
      </c>
      <c r="G33" s="15" t="s">
        <v>35</v>
      </c>
      <c r="H33" s="7">
        <v>46114</v>
      </c>
      <c r="I33" s="7">
        <v>46124</v>
      </c>
      <c r="J33" s="7">
        <v>46124</v>
      </c>
      <c r="K33" s="3"/>
    </row>
    <row r="34" spans="1:11" ht="15" customHeight="1" x14ac:dyDescent="0.2">
      <c r="A34" s="8" t="s">
        <v>107</v>
      </c>
      <c r="B34" s="9" t="s">
        <v>108</v>
      </c>
      <c r="C34" s="10" t="s">
        <v>95</v>
      </c>
      <c r="D34" s="10" t="s">
        <v>163</v>
      </c>
      <c r="E34" s="10" t="s">
        <v>23</v>
      </c>
      <c r="F34" s="11" t="s">
        <v>18</v>
      </c>
      <c r="G34" s="6" t="s">
        <v>19</v>
      </c>
      <c r="H34" s="13">
        <v>46128</v>
      </c>
      <c r="I34" s="13">
        <v>46137</v>
      </c>
      <c r="J34" s="10"/>
      <c r="K34" s="9"/>
    </row>
    <row r="35" spans="1:11" ht="15" customHeight="1" x14ac:dyDescent="0.2">
      <c r="A35" s="2" t="s">
        <v>109</v>
      </c>
      <c r="B35" s="3" t="s">
        <v>110</v>
      </c>
      <c r="C35" s="4" t="s">
        <v>59</v>
      </c>
      <c r="D35" s="10" t="s">
        <v>163</v>
      </c>
      <c r="E35" s="4" t="s">
        <v>55</v>
      </c>
      <c r="F35" s="19" t="s">
        <v>56</v>
      </c>
      <c r="G35" s="16" t="s">
        <v>48</v>
      </c>
      <c r="H35" s="7">
        <v>46128</v>
      </c>
      <c r="I35" s="7">
        <v>46138</v>
      </c>
      <c r="J35" s="4"/>
      <c r="K35" s="3"/>
    </row>
    <row r="36" spans="1:11" ht="15" customHeight="1" x14ac:dyDescent="0.2">
      <c r="A36" s="8" t="s">
        <v>111</v>
      </c>
      <c r="B36" s="9" t="s">
        <v>112</v>
      </c>
      <c r="C36" s="10" t="s">
        <v>92</v>
      </c>
      <c r="D36" s="10" t="s">
        <v>163</v>
      </c>
      <c r="E36" s="10" t="s">
        <v>65</v>
      </c>
      <c r="F36" s="18" t="s">
        <v>29</v>
      </c>
      <c r="G36" s="16" t="s">
        <v>48</v>
      </c>
      <c r="H36" s="13">
        <v>46124</v>
      </c>
      <c r="I36" s="13">
        <v>46140</v>
      </c>
      <c r="J36" s="10"/>
      <c r="K36" s="9"/>
    </row>
    <row r="37" spans="1:11" ht="15" customHeight="1" x14ac:dyDescent="0.2">
      <c r="A37" s="2" t="s">
        <v>113</v>
      </c>
      <c r="B37" s="3" t="s">
        <v>114</v>
      </c>
      <c r="C37" s="4" t="s">
        <v>32</v>
      </c>
      <c r="D37" s="10" t="s">
        <v>163</v>
      </c>
      <c r="E37" s="4" t="s">
        <v>55</v>
      </c>
      <c r="F37" s="14" t="s">
        <v>29</v>
      </c>
      <c r="G37" s="16" t="s">
        <v>48</v>
      </c>
      <c r="H37" s="7">
        <v>46133</v>
      </c>
      <c r="I37" s="7">
        <v>46139</v>
      </c>
      <c r="J37" s="4"/>
      <c r="K37" s="3"/>
    </row>
    <row r="38" spans="1:11" ht="15" customHeight="1" x14ac:dyDescent="0.2">
      <c r="A38" s="8" t="s">
        <v>115</v>
      </c>
      <c r="B38" s="9" t="s">
        <v>116</v>
      </c>
      <c r="C38" s="10" t="s">
        <v>95</v>
      </c>
      <c r="D38" s="10" t="s">
        <v>163</v>
      </c>
      <c r="E38" s="10" t="s">
        <v>55</v>
      </c>
      <c r="F38" s="11" t="s">
        <v>18</v>
      </c>
      <c r="G38" s="15" t="s">
        <v>35</v>
      </c>
      <c r="H38" s="13">
        <v>46120</v>
      </c>
      <c r="I38" s="13">
        <v>46129</v>
      </c>
      <c r="J38" s="13">
        <v>46128</v>
      </c>
      <c r="K38" s="9"/>
    </row>
    <row r="39" spans="1:11" ht="15" customHeight="1" x14ac:dyDescent="0.2">
      <c r="A39" s="2" t="s">
        <v>117</v>
      </c>
      <c r="B39" s="3" t="s">
        <v>118</v>
      </c>
      <c r="C39" s="4" t="s">
        <v>59</v>
      </c>
      <c r="D39" s="10" t="s">
        <v>163</v>
      </c>
      <c r="E39" s="4" t="s">
        <v>40</v>
      </c>
      <c r="F39" s="5" t="s">
        <v>18</v>
      </c>
      <c r="G39" s="6" t="s">
        <v>19</v>
      </c>
      <c r="H39" s="7">
        <v>46120</v>
      </c>
      <c r="I39" s="7">
        <v>46125</v>
      </c>
      <c r="J39" s="4"/>
      <c r="K39" s="3"/>
    </row>
    <row r="40" spans="1:11" ht="24" customHeight="1" x14ac:dyDescent="0.2">
      <c r="A40" s="8" t="s">
        <v>119</v>
      </c>
      <c r="B40" s="9" t="s">
        <v>120</v>
      </c>
      <c r="C40" s="10" t="s">
        <v>92</v>
      </c>
      <c r="D40" s="10" t="s">
        <v>163</v>
      </c>
      <c r="E40" s="10" t="s">
        <v>23</v>
      </c>
      <c r="F40" s="18" t="s">
        <v>29</v>
      </c>
      <c r="G40" s="20" t="s">
        <v>76</v>
      </c>
      <c r="H40" s="13">
        <v>46113</v>
      </c>
      <c r="I40" s="13">
        <v>46118</v>
      </c>
      <c r="J40" s="10"/>
      <c r="K40" s="9"/>
    </row>
    <row r="41" spans="1:11" x14ac:dyDescent="0.2">
      <c r="A41" s="8" t="s">
        <v>166</v>
      </c>
      <c r="B41" s="9" t="s">
        <v>120</v>
      </c>
      <c r="C41" s="10" t="s">
        <v>92</v>
      </c>
      <c r="D41" s="10" t="s">
        <v>163</v>
      </c>
      <c r="E41" s="10" t="s">
        <v>23</v>
      </c>
      <c r="F41" s="18" t="s">
        <v>29</v>
      </c>
      <c r="G41" s="20" t="s">
        <v>76</v>
      </c>
      <c r="H41" s="13">
        <v>46113</v>
      </c>
      <c r="I41" s="13">
        <v>46118</v>
      </c>
    </row>
    <row r="42" spans="1:11" x14ac:dyDescent="0.2">
      <c r="A42" s="8" t="s">
        <v>167</v>
      </c>
      <c r="B42" s="9" t="s">
        <v>120</v>
      </c>
      <c r="C42" s="10" t="s">
        <v>92</v>
      </c>
      <c r="D42" s="10" t="s">
        <v>163</v>
      </c>
      <c r="E42" s="10" t="s">
        <v>23</v>
      </c>
      <c r="F42" s="18" t="s">
        <v>29</v>
      </c>
      <c r="G42" s="20" t="s">
        <v>76</v>
      </c>
      <c r="H42" s="13">
        <v>46113</v>
      </c>
      <c r="I42" s="13">
        <v>46118</v>
      </c>
    </row>
    <row r="43" spans="1:11" x14ac:dyDescent="0.2">
      <c r="A43" s="8" t="s">
        <v>168</v>
      </c>
      <c r="B43" s="9" t="s">
        <v>120</v>
      </c>
      <c r="C43" s="10" t="s">
        <v>92</v>
      </c>
      <c r="D43" s="10" t="s">
        <v>163</v>
      </c>
      <c r="E43" s="10" t="s">
        <v>23</v>
      </c>
      <c r="F43" s="18" t="s">
        <v>29</v>
      </c>
      <c r="G43" s="20" t="s">
        <v>76</v>
      </c>
      <c r="H43" s="13">
        <v>46113</v>
      </c>
      <c r="I43" s="13">
        <v>46118</v>
      </c>
    </row>
    <row r="44" spans="1:11" x14ac:dyDescent="0.2">
      <c r="A44" s="8" t="s">
        <v>169</v>
      </c>
      <c r="B44" s="9" t="s">
        <v>120</v>
      </c>
      <c r="C44" s="10" t="s">
        <v>92</v>
      </c>
      <c r="D44" s="10" t="s">
        <v>163</v>
      </c>
      <c r="E44" s="10" t="s">
        <v>23</v>
      </c>
      <c r="F44" s="18" t="s">
        <v>29</v>
      </c>
      <c r="G44" s="20" t="s">
        <v>76</v>
      </c>
      <c r="H44" s="13">
        <v>46113</v>
      </c>
      <c r="I44" s="13">
        <v>46118</v>
      </c>
    </row>
    <row r="45" spans="1:11" x14ac:dyDescent="0.2">
      <c r="A45" s="8" t="s">
        <v>170</v>
      </c>
      <c r="B45" s="9" t="s">
        <v>120</v>
      </c>
      <c r="C45" s="10" t="s">
        <v>92</v>
      </c>
      <c r="D45" s="10" t="s">
        <v>163</v>
      </c>
      <c r="E45" s="10" t="s">
        <v>23</v>
      </c>
      <c r="F45" s="18" t="s">
        <v>29</v>
      </c>
      <c r="G45" s="20" t="s">
        <v>76</v>
      </c>
      <c r="H45" s="13">
        <v>46113</v>
      </c>
      <c r="I45" s="13">
        <v>46118</v>
      </c>
    </row>
  </sheetData>
  <autoFilter ref="A4:K40" xr:uid="{00000000-0009-0000-0000-000000000000}"/>
  <mergeCells count="2">
    <mergeCell ref="A1:K1"/>
    <mergeCell ref="A2:K2"/>
  </mergeCells>
  <phoneticPr fontId="12" type="noConversion"/>
  <dataValidations count="2">
    <dataValidation type="list" errorTitle="Invalid Status" error="Please select a valid status" sqref="G5:G200" xr:uid="{00000000-0002-0000-0000-000000000000}">
      <formula1>"Not Started,In Progress,In Review,Completed,On Hold"</formula1>
      <formula2>0</formula2>
    </dataValidation>
    <dataValidation type="list" sqref="F5:F200" xr:uid="{00000000-0002-0000-00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2" width="25" customWidth="1"/>
    <col min="3" max="3" width="20" customWidth="1"/>
    <col min="4" max="4" width="24" customWidth="1"/>
  </cols>
  <sheetData>
    <row r="1" spans="1:4" ht="34.5" customHeight="1" x14ac:dyDescent="0.2">
      <c r="A1" s="30" t="s">
        <v>121</v>
      </c>
      <c r="B1" s="30"/>
      <c r="C1" s="30"/>
      <c r="D1" s="30"/>
    </row>
    <row r="3" spans="1:4" ht="15" customHeight="1" x14ac:dyDescent="0.2">
      <c r="A3" s="21" t="s">
        <v>122</v>
      </c>
      <c r="B3" s="21" t="s">
        <v>123</v>
      </c>
      <c r="C3" s="21" t="s">
        <v>124</v>
      </c>
      <c r="D3" s="21" t="s">
        <v>125</v>
      </c>
    </row>
    <row r="4" spans="1:4" ht="15" customHeight="1" x14ac:dyDescent="0.2">
      <c r="A4" s="4" t="s">
        <v>95</v>
      </c>
      <c r="B4" s="4" t="s">
        <v>126</v>
      </c>
      <c r="C4" s="4" t="s">
        <v>127</v>
      </c>
      <c r="D4" s="22">
        <v>5</v>
      </c>
    </row>
    <row r="5" spans="1:4" ht="15" customHeight="1" x14ac:dyDescent="0.2">
      <c r="A5" s="10" t="s">
        <v>43</v>
      </c>
      <c r="B5" s="10" t="s">
        <v>128</v>
      </c>
      <c r="C5" s="10" t="s">
        <v>129</v>
      </c>
      <c r="D5" s="23">
        <v>5</v>
      </c>
    </row>
    <row r="6" spans="1:4" ht="15" customHeight="1" x14ac:dyDescent="0.2">
      <c r="A6" s="4" t="s">
        <v>72</v>
      </c>
      <c r="B6" s="4" t="s">
        <v>130</v>
      </c>
      <c r="C6" s="4" t="s">
        <v>131</v>
      </c>
      <c r="D6" s="22">
        <v>7</v>
      </c>
    </row>
    <row r="7" spans="1:4" ht="15" customHeight="1" x14ac:dyDescent="0.2">
      <c r="A7" s="10" t="s">
        <v>27</v>
      </c>
      <c r="B7" s="10" t="s">
        <v>132</v>
      </c>
      <c r="C7" s="10" t="s">
        <v>127</v>
      </c>
      <c r="D7" s="23">
        <v>7</v>
      </c>
    </row>
    <row r="8" spans="1:4" ht="15" customHeight="1" x14ac:dyDescent="0.2">
      <c r="A8" s="4" t="s">
        <v>64</v>
      </c>
      <c r="B8" s="4" t="s">
        <v>133</v>
      </c>
      <c r="C8" s="4" t="s">
        <v>134</v>
      </c>
      <c r="D8" s="22">
        <v>7</v>
      </c>
    </row>
    <row r="9" spans="1:4" ht="15" customHeight="1" x14ac:dyDescent="0.2">
      <c r="A9" s="10" t="s">
        <v>38</v>
      </c>
      <c r="B9" s="10" t="s">
        <v>135</v>
      </c>
      <c r="C9" s="10" t="s">
        <v>136</v>
      </c>
      <c r="D9" s="23">
        <v>5</v>
      </c>
    </row>
    <row r="10" spans="1:4" ht="15" customHeight="1" x14ac:dyDescent="0.2">
      <c r="A10" s="4" t="s">
        <v>32</v>
      </c>
      <c r="B10" s="4" t="s">
        <v>137</v>
      </c>
      <c r="C10" s="4" t="s">
        <v>138</v>
      </c>
      <c r="D10" s="22">
        <v>7</v>
      </c>
    </row>
    <row r="11" spans="1:4" ht="15" customHeight="1" x14ac:dyDescent="0.2">
      <c r="A11" s="10" t="s">
        <v>92</v>
      </c>
      <c r="B11" s="10" t="s">
        <v>139</v>
      </c>
      <c r="C11" s="10" t="s">
        <v>136</v>
      </c>
      <c r="D11" s="23">
        <v>4</v>
      </c>
    </row>
    <row r="12" spans="1:4" ht="15" customHeight="1" x14ac:dyDescent="0.2">
      <c r="A12" s="4" t="s">
        <v>59</v>
      </c>
      <c r="B12" s="4" t="s">
        <v>140</v>
      </c>
      <c r="C12" s="4" t="s">
        <v>134</v>
      </c>
      <c r="D12" s="22">
        <v>5</v>
      </c>
    </row>
    <row r="13" spans="1:4" ht="15" customHeight="1" x14ac:dyDescent="0.2">
      <c r="A13" s="10" t="s">
        <v>75</v>
      </c>
      <c r="B13" s="10" t="s">
        <v>141</v>
      </c>
      <c r="C13" s="10" t="s">
        <v>5</v>
      </c>
      <c r="D13" s="23">
        <v>7</v>
      </c>
    </row>
    <row r="14" spans="1:4" ht="15" customHeight="1" x14ac:dyDescent="0.2">
      <c r="A14" s="4" t="s">
        <v>15</v>
      </c>
      <c r="B14" s="4" t="s">
        <v>142</v>
      </c>
      <c r="C14" s="4" t="s">
        <v>143</v>
      </c>
      <c r="D14" s="22">
        <v>4</v>
      </c>
    </row>
    <row r="15" spans="1:4" ht="15" customHeight="1" x14ac:dyDescent="0.2">
      <c r="A15" s="10" t="s">
        <v>102</v>
      </c>
      <c r="B15" s="10" t="s">
        <v>144</v>
      </c>
      <c r="C15" s="10" t="s">
        <v>145</v>
      </c>
      <c r="D15" s="23">
        <v>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zoomScaleNormal="100" workbookViewId="0">
      <pane ySplit="3" topLeftCell="A4" activePane="bottomLeft" state="frozen"/>
      <selection pane="bottomLeft" activeCell="B6" sqref="B6"/>
    </sheetView>
  </sheetViews>
  <sheetFormatPr baseColWidth="10" defaultColWidth="8.6640625" defaultRowHeight="15" x14ac:dyDescent="0.2"/>
  <cols>
    <col min="1" max="2" width="22" customWidth="1"/>
    <col min="3" max="3" width="16" customWidth="1"/>
  </cols>
  <sheetData>
    <row r="1" spans="1:3" ht="34.5" customHeight="1" x14ac:dyDescent="0.2">
      <c r="A1" s="30" t="s">
        <v>146</v>
      </c>
      <c r="B1" s="30"/>
      <c r="C1" s="30"/>
    </row>
    <row r="3" spans="1:3" ht="15" customHeight="1" x14ac:dyDescent="0.2">
      <c r="A3" s="21" t="s">
        <v>147</v>
      </c>
      <c r="B3" s="21" t="s">
        <v>148</v>
      </c>
      <c r="C3" s="21" t="s">
        <v>8</v>
      </c>
    </row>
    <row r="4" spans="1:3" ht="15" customHeight="1" x14ac:dyDescent="0.2">
      <c r="A4" s="4" t="s">
        <v>159</v>
      </c>
      <c r="B4" s="4" t="s">
        <v>149</v>
      </c>
      <c r="C4" s="15" t="s">
        <v>150</v>
      </c>
    </row>
    <row r="5" spans="1:3" ht="15" customHeight="1" x14ac:dyDescent="0.2">
      <c r="A5" s="4" t="s">
        <v>160</v>
      </c>
      <c r="B5" s="4" t="s">
        <v>151</v>
      </c>
      <c r="C5" s="15" t="s">
        <v>150</v>
      </c>
    </row>
    <row r="6" spans="1:3" ht="15" customHeight="1" x14ac:dyDescent="0.2">
      <c r="A6" s="4" t="s">
        <v>161</v>
      </c>
      <c r="B6" s="4" t="s">
        <v>165</v>
      </c>
      <c r="C6" s="15" t="s">
        <v>150</v>
      </c>
    </row>
    <row r="7" spans="1:3" ht="15" customHeight="1" x14ac:dyDescent="0.2">
      <c r="A7" s="4" t="s">
        <v>162</v>
      </c>
      <c r="B7" s="4" t="s">
        <v>164</v>
      </c>
      <c r="C7" s="15" t="s">
        <v>150</v>
      </c>
    </row>
    <row r="8" spans="1:3" ht="15" customHeight="1" x14ac:dyDescent="0.2">
      <c r="A8" s="4" t="s">
        <v>163</v>
      </c>
      <c r="B8" s="4" t="s">
        <v>164</v>
      </c>
      <c r="C8" s="15" t="s">
        <v>150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zoomScaleNormal="100" workbookViewId="0"/>
  </sheetViews>
  <sheetFormatPr baseColWidth="10" defaultColWidth="8.6640625" defaultRowHeight="15" x14ac:dyDescent="0.2"/>
  <cols>
    <col min="1" max="1" width="40" customWidth="1"/>
    <col min="2" max="6" width="14" customWidth="1"/>
  </cols>
  <sheetData>
    <row r="1" spans="1:6" ht="34.5" customHeight="1" x14ac:dyDescent="0.2">
      <c r="A1" s="30" t="s">
        <v>152</v>
      </c>
      <c r="B1" s="30"/>
      <c r="C1" s="30"/>
      <c r="D1" s="30"/>
      <c r="E1" s="30"/>
      <c r="F1" s="30"/>
    </row>
    <row r="3" spans="1:6" ht="17.25" customHeight="1" x14ac:dyDescent="0.2">
      <c r="A3" s="24" t="s">
        <v>153</v>
      </c>
      <c r="B3" s="25">
        <f>COUNTA('Task Tracker'!A5:A200)</f>
        <v>41</v>
      </c>
    </row>
    <row r="4" spans="1:6" ht="17.25" customHeight="1" x14ac:dyDescent="0.2">
      <c r="A4" s="24" t="s">
        <v>35</v>
      </c>
      <c r="B4" s="25">
        <f>COUNTIF('Task Tracker'!G5:G200,"Completed")</f>
        <v>10</v>
      </c>
    </row>
    <row r="5" spans="1:6" ht="17.25" customHeight="1" x14ac:dyDescent="0.2">
      <c r="A5" s="24" t="s">
        <v>19</v>
      </c>
      <c r="B5" s="25">
        <f>COUNTIF('Task Tracker'!G5:G200,"In Progress")</f>
        <v>8</v>
      </c>
    </row>
    <row r="6" spans="1:6" ht="17.25" customHeight="1" x14ac:dyDescent="0.2">
      <c r="A6" s="24" t="s">
        <v>154</v>
      </c>
      <c r="B6" s="25">
        <f ca="1">COUNTIFS('Task Tracker'!I5:I200,"&lt;"&amp;TODAY(),'Task Tracker'!G5:G200,"&lt;&gt;Completed")</f>
        <v>20</v>
      </c>
    </row>
    <row r="8" spans="1:6" ht="15" customHeight="1" x14ac:dyDescent="0.2">
      <c r="A8" s="26" t="s">
        <v>155</v>
      </c>
    </row>
    <row r="9" spans="1:6" ht="15" customHeight="1" x14ac:dyDescent="0.2">
      <c r="A9" s="21" t="s">
        <v>156</v>
      </c>
      <c r="B9" s="21" t="s">
        <v>157</v>
      </c>
      <c r="C9" s="21" t="s">
        <v>24</v>
      </c>
      <c r="D9" s="21" t="s">
        <v>19</v>
      </c>
      <c r="E9" s="21" t="s">
        <v>48</v>
      </c>
      <c r="F9" s="21" t="s">
        <v>35</v>
      </c>
    </row>
    <row r="10" spans="1:6" ht="15" customHeight="1" x14ac:dyDescent="0.2">
      <c r="A10" s="27" t="s">
        <v>95</v>
      </c>
      <c r="B10" s="22">
        <f>COUNTIF('Task Tracker'!C$5:C$200,A10)</f>
        <v>3</v>
      </c>
      <c r="C10" s="22">
        <f>COUNTIFS('Task Tracker'!C$5:C$200,A10,'Task Tracker'!G$5:G$200,"Not Started")</f>
        <v>1</v>
      </c>
      <c r="D10" s="22">
        <f>COUNTIFS('Task Tracker'!C$5:C$200,A10,'Task Tracker'!G$5:G$200,"In Progress")</f>
        <v>1</v>
      </c>
      <c r="E10" s="22">
        <f>COUNTIFS('Task Tracker'!C$5:C$200,A10,'Task Tracker'!G$5:G$200,"In Review")</f>
        <v>0</v>
      </c>
      <c r="F10" s="22">
        <f>COUNTIFS('Task Tracker'!C$5:C$200,A10,'Task Tracker'!G$5:G$200,"Completed")</f>
        <v>1</v>
      </c>
    </row>
    <row r="11" spans="1:6" ht="15" customHeight="1" x14ac:dyDescent="0.2">
      <c r="A11" s="27" t="s">
        <v>43</v>
      </c>
      <c r="B11" s="22">
        <f>COUNTIF('Task Tracker'!C$5:C$200,A11)</f>
        <v>3</v>
      </c>
      <c r="C11" s="22">
        <f>COUNTIFS('Task Tracker'!C$5:C$200,A11,'Task Tracker'!G$5:G$200,"Not Started")</f>
        <v>2</v>
      </c>
      <c r="D11" s="22">
        <f>COUNTIFS('Task Tracker'!C$5:C$200,A11,'Task Tracker'!G$5:G$200,"In Progress")</f>
        <v>0</v>
      </c>
      <c r="E11" s="22">
        <f>COUNTIFS('Task Tracker'!C$5:C$200,A11,'Task Tracker'!G$5:G$200,"In Review")</f>
        <v>0</v>
      </c>
      <c r="F11" s="22">
        <f>COUNTIFS('Task Tracker'!C$5:C$200,A11,'Task Tracker'!G$5:G$200,"Completed")</f>
        <v>1</v>
      </c>
    </row>
    <row r="12" spans="1:6" ht="15" customHeight="1" x14ac:dyDescent="0.2">
      <c r="A12" s="27" t="s">
        <v>72</v>
      </c>
      <c r="B12" s="22">
        <f>COUNTIF('Task Tracker'!C$5:C$200,A12)</f>
        <v>2</v>
      </c>
      <c r="C12" s="22">
        <f>COUNTIFS('Task Tracker'!C$5:C$200,A12,'Task Tracker'!G$5:G$200,"Not Started")</f>
        <v>0</v>
      </c>
      <c r="D12" s="22">
        <f>COUNTIFS('Task Tracker'!C$5:C$200,A12,'Task Tracker'!G$5:G$200,"In Progress")</f>
        <v>1</v>
      </c>
      <c r="E12" s="22">
        <f>COUNTIFS('Task Tracker'!C$5:C$200,A12,'Task Tracker'!G$5:G$200,"In Review")</f>
        <v>0</v>
      </c>
      <c r="F12" s="22">
        <f>COUNTIFS('Task Tracker'!C$5:C$200,A12,'Task Tracker'!G$5:G$200,"Completed")</f>
        <v>1</v>
      </c>
    </row>
    <row r="13" spans="1:6" ht="15" customHeight="1" x14ac:dyDescent="0.2">
      <c r="A13" s="27" t="s">
        <v>27</v>
      </c>
      <c r="B13" s="22">
        <f>COUNTIF('Task Tracker'!C$5:C$200,A13)</f>
        <v>6</v>
      </c>
      <c r="C13" s="22">
        <f>COUNTIFS('Task Tracker'!C$5:C$200,A13,'Task Tracker'!G$5:G$200,"Not Started")</f>
        <v>1</v>
      </c>
      <c r="D13" s="22">
        <f>COUNTIFS('Task Tracker'!C$5:C$200,A13,'Task Tracker'!G$5:G$200,"In Progress")</f>
        <v>1</v>
      </c>
      <c r="E13" s="22">
        <f>COUNTIFS('Task Tracker'!C$5:C$200,A13,'Task Tracker'!G$5:G$200,"In Review")</f>
        <v>2</v>
      </c>
      <c r="F13" s="22">
        <f>COUNTIFS('Task Tracker'!C$5:C$200,A13,'Task Tracker'!G$5:G$200,"Completed")</f>
        <v>2</v>
      </c>
    </row>
    <row r="14" spans="1:6" ht="15" customHeight="1" x14ac:dyDescent="0.2">
      <c r="A14" s="27" t="s">
        <v>64</v>
      </c>
      <c r="B14" s="22">
        <f>COUNTIF('Task Tracker'!C$5:C$200,A14)</f>
        <v>1</v>
      </c>
      <c r="C14" s="22">
        <f>COUNTIFS('Task Tracker'!C$5:C$200,A14,'Task Tracker'!G$5:G$200,"Not Started")</f>
        <v>0</v>
      </c>
      <c r="D14" s="22">
        <f>COUNTIFS('Task Tracker'!C$5:C$200,A14,'Task Tracker'!G$5:G$200,"In Progress")</f>
        <v>0</v>
      </c>
      <c r="E14" s="22">
        <f>COUNTIFS('Task Tracker'!C$5:C$200,A14,'Task Tracker'!G$5:G$200,"In Review")</f>
        <v>1</v>
      </c>
      <c r="F14" s="22">
        <f>COUNTIFS('Task Tracker'!C$5:C$200,A14,'Task Tracker'!G$5:G$200,"Completed")</f>
        <v>0</v>
      </c>
    </row>
    <row r="15" spans="1:6" ht="15" customHeight="1" x14ac:dyDescent="0.2">
      <c r="A15" s="27" t="s">
        <v>38</v>
      </c>
      <c r="B15" s="22">
        <f>COUNTIF('Task Tracker'!C$5:C$200,A15)</f>
        <v>1</v>
      </c>
      <c r="C15" s="22">
        <f>COUNTIFS('Task Tracker'!C$5:C$200,A15,'Task Tracker'!G$5:G$200,"Not Started")</f>
        <v>0</v>
      </c>
      <c r="D15" s="22">
        <f>COUNTIFS('Task Tracker'!C$5:C$200,A15,'Task Tracker'!G$5:G$200,"In Progress")</f>
        <v>0</v>
      </c>
      <c r="E15" s="22">
        <f>COUNTIFS('Task Tracker'!C$5:C$200,A15,'Task Tracker'!G$5:G$200,"In Review")</f>
        <v>0</v>
      </c>
      <c r="F15" s="22">
        <f>COUNTIFS('Task Tracker'!C$5:C$200,A15,'Task Tracker'!G$5:G$200,"Completed")</f>
        <v>1</v>
      </c>
    </row>
    <row r="16" spans="1:6" ht="15" customHeight="1" x14ac:dyDescent="0.2">
      <c r="A16" s="27" t="s">
        <v>32</v>
      </c>
      <c r="B16" s="22">
        <f>COUNTIF('Task Tracker'!C$5:C$200,A16)</f>
        <v>4</v>
      </c>
      <c r="C16" s="22">
        <f>COUNTIFS('Task Tracker'!C$5:C$200,A16,'Task Tracker'!G$5:G$200,"Not Started")</f>
        <v>0</v>
      </c>
      <c r="D16" s="22">
        <f>COUNTIFS('Task Tracker'!C$5:C$200,A16,'Task Tracker'!G$5:G$200,"In Progress")</f>
        <v>1</v>
      </c>
      <c r="E16" s="22">
        <f>COUNTIFS('Task Tracker'!C$5:C$200,A16,'Task Tracker'!G$5:G$200,"In Review")</f>
        <v>2</v>
      </c>
      <c r="F16" s="22">
        <f>COUNTIFS('Task Tracker'!C$5:C$200,A16,'Task Tracker'!G$5:G$200,"Completed")</f>
        <v>1</v>
      </c>
    </row>
    <row r="17" spans="1:6" ht="15" customHeight="1" x14ac:dyDescent="0.2">
      <c r="A17" s="27" t="s">
        <v>92</v>
      </c>
      <c r="B17" s="22">
        <f>COUNTIF('Task Tracker'!C$5:C$200,A17)</f>
        <v>9</v>
      </c>
      <c r="C17" s="22">
        <f>COUNTIFS('Task Tracker'!C$5:C$200,A17,'Task Tracker'!G$5:G$200,"Not Started")</f>
        <v>0</v>
      </c>
      <c r="D17" s="22">
        <f>COUNTIFS('Task Tracker'!C$5:C$200,A17,'Task Tracker'!G$5:G$200,"In Progress")</f>
        <v>1</v>
      </c>
      <c r="E17" s="22">
        <f>COUNTIFS('Task Tracker'!C$5:C$200,A17,'Task Tracker'!G$5:G$200,"In Review")</f>
        <v>1</v>
      </c>
      <c r="F17" s="22">
        <f>COUNTIFS('Task Tracker'!C$5:C$200,A17,'Task Tracker'!G$5:G$200,"Completed")</f>
        <v>1</v>
      </c>
    </row>
    <row r="18" spans="1:6" ht="15" customHeight="1" x14ac:dyDescent="0.2">
      <c r="A18" s="27" t="s">
        <v>59</v>
      </c>
      <c r="B18" s="22">
        <f>COUNTIF('Task Tracker'!C$5:C$200,A18)</f>
        <v>7</v>
      </c>
      <c r="C18" s="22">
        <f>COUNTIFS('Task Tracker'!C$5:C$200,A18,'Task Tracker'!G$5:G$200,"Not Started")</f>
        <v>0</v>
      </c>
      <c r="D18" s="22">
        <f>COUNTIFS('Task Tracker'!C$5:C$200,A18,'Task Tracker'!G$5:G$200,"In Progress")</f>
        <v>2</v>
      </c>
      <c r="E18" s="22">
        <f>COUNTIFS('Task Tracker'!C$5:C$200,A18,'Task Tracker'!G$5:G$200,"In Review")</f>
        <v>1</v>
      </c>
      <c r="F18" s="22">
        <f>COUNTIFS('Task Tracker'!C$5:C$200,A18,'Task Tracker'!G$5:G$200,"Completed")</f>
        <v>2</v>
      </c>
    </row>
    <row r="19" spans="1:6" ht="15" customHeight="1" x14ac:dyDescent="0.2">
      <c r="A19" s="27" t="s">
        <v>75</v>
      </c>
      <c r="B19" s="22">
        <f>COUNTIF('Task Tracker'!C$5:C$200,A19)</f>
        <v>2</v>
      </c>
      <c r="C19" s="22">
        <f>COUNTIFS('Task Tracker'!C$5:C$200,A19,'Task Tracker'!G$5:G$200,"Not Started")</f>
        <v>0</v>
      </c>
      <c r="D19" s="22">
        <f>COUNTIFS('Task Tracker'!C$5:C$200,A19,'Task Tracker'!G$5:G$200,"In Progress")</f>
        <v>0</v>
      </c>
      <c r="E19" s="22">
        <f>COUNTIFS('Task Tracker'!C$5:C$200,A19,'Task Tracker'!G$5:G$200,"In Review")</f>
        <v>0</v>
      </c>
      <c r="F19" s="22">
        <f>COUNTIFS('Task Tracker'!C$5:C$200,A19,'Task Tracker'!G$5:G$200,"Completed")</f>
        <v>0</v>
      </c>
    </row>
    <row r="20" spans="1:6" ht="15" customHeight="1" x14ac:dyDescent="0.2">
      <c r="A20" s="27" t="s">
        <v>15</v>
      </c>
      <c r="B20" s="22">
        <f>COUNTIF('Task Tracker'!C$5:C$200,A20)</f>
        <v>2</v>
      </c>
      <c r="C20" s="22">
        <f>COUNTIFS('Task Tracker'!C$5:C$200,A20,'Task Tracker'!G$5:G$200,"Not Started")</f>
        <v>1</v>
      </c>
      <c r="D20" s="22">
        <f>COUNTIFS('Task Tracker'!C$5:C$200,A20,'Task Tracker'!G$5:G$200,"In Progress")</f>
        <v>1</v>
      </c>
      <c r="E20" s="22">
        <f>COUNTIFS('Task Tracker'!C$5:C$200,A20,'Task Tracker'!G$5:G$200,"In Review")</f>
        <v>0</v>
      </c>
      <c r="F20" s="22">
        <f>COUNTIFS('Task Tracker'!C$5:C$200,A20,'Task Tracker'!G$5:G$200,"Completed")</f>
        <v>0</v>
      </c>
    </row>
    <row r="21" spans="1:6" ht="15" customHeight="1" x14ac:dyDescent="0.2">
      <c r="A21" s="27" t="s">
        <v>102</v>
      </c>
      <c r="B21" s="22">
        <f>COUNTIF('Task Tracker'!C$5:C$200,A21)</f>
        <v>1</v>
      </c>
      <c r="C21" s="22">
        <f>COUNTIFS('Task Tracker'!C$5:C$200,A21,'Task Tracker'!G$5:G$200,"Not Started")</f>
        <v>0</v>
      </c>
      <c r="D21" s="22">
        <f>COUNTIFS('Task Tracker'!C$5:C$200,A21,'Task Tracker'!G$5:G$200,"In Progress")</f>
        <v>0</v>
      </c>
      <c r="E21" s="22">
        <f>COUNTIFS('Task Tracker'!C$5:C$200,A21,'Task Tracker'!G$5:G$200,"In Review")</f>
        <v>1</v>
      </c>
      <c r="F21" s="22">
        <f>COUNTIFS('Task Tracker'!C$5:C$200,A21,'Task Tracker'!G$5:G$200,"Completed")</f>
        <v>0</v>
      </c>
    </row>
    <row r="24" spans="1:6" ht="15" customHeight="1" x14ac:dyDescent="0.2">
      <c r="A24" s="26" t="s">
        <v>158</v>
      </c>
    </row>
    <row r="25" spans="1:6" ht="15" customHeight="1" x14ac:dyDescent="0.2">
      <c r="A25" s="21" t="s">
        <v>5</v>
      </c>
      <c r="B25" s="21" t="s">
        <v>157</v>
      </c>
      <c r="C25" s="21" t="s">
        <v>24</v>
      </c>
      <c r="D25" s="21" t="s">
        <v>19</v>
      </c>
      <c r="E25" s="21" t="s">
        <v>48</v>
      </c>
      <c r="F25" s="21" t="s">
        <v>35</v>
      </c>
    </row>
    <row r="26" spans="1:6" ht="15" customHeight="1" x14ac:dyDescent="0.2">
      <c r="A26" s="27" t="s">
        <v>16</v>
      </c>
      <c r="B26" s="22">
        <f>COUNTIF('Task Tracker'!D$5:D$200,A26)</f>
        <v>0</v>
      </c>
      <c r="C26" s="22">
        <f>COUNTIFS('Task Tracker'!D$5:D$200,A26,'Task Tracker'!G$5:G$200,"Not Started")</f>
        <v>0</v>
      </c>
      <c r="D26" s="22">
        <f>COUNTIFS('Task Tracker'!D$5:D$200,A26,'Task Tracker'!G$5:G$200,"In Progress")</f>
        <v>0</v>
      </c>
      <c r="E26" s="22">
        <f>COUNTIFS('Task Tracker'!D$5:D$200,A26,'Task Tracker'!G$5:G$200,"In Review")</f>
        <v>0</v>
      </c>
      <c r="F26" s="22">
        <f>COUNTIFS('Task Tracker'!D$5:D$200,A26,'Task Tracker'!G$5:G$200,"Completed")</f>
        <v>0</v>
      </c>
    </row>
    <row r="27" spans="1:6" ht="15" customHeight="1" x14ac:dyDescent="0.2">
      <c r="A27" s="27" t="s">
        <v>33</v>
      </c>
      <c r="B27" s="22">
        <f>COUNTIF('Task Tracker'!D$5:D$200,A27)</f>
        <v>0</v>
      </c>
      <c r="C27" s="22">
        <f>COUNTIFS('Task Tracker'!D$5:D$200,A27,'Task Tracker'!G$5:G$200,"Not Started")</f>
        <v>0</v>
      </c>
      <c r="D27" s="22">
        <f>COUNTIFS('Task Tracker'!D$5:D$200,A27,'Task Tracker'!G$5:G$200,"In Progress")</f>
        <v>0</v>
      </c>
      <c r="E27" s="22">
        <f>COUNTIFS('Task Tracker'!D$5:D$200,A27,'Task Tracker'!G$5:G$200,"In Review")</f>
        <v>0</v>
      </c>
      <c r="F27" s="22">
        <f>COUNTIFS('Task Tracker'!D$5:D$200,A27,'Task Tracker'!G$5:G$200,"Completed")</f>
        <v>0</v>
      </c>
    </row>
    <row r="28" spans="1:6" ht="15" customHeight="1" x14ac:dyDescent="0.2">
      <c r="A28" s="27" t="s">
        <v>39</v>
      </c>
      <c r="B28" s="22">
        <f>COUNTIF('Task Tracker'!D$5:D$200,A28)</f>
        <v>0</v>
      </c>
      <c r="C28" s="22">
        <f>COUNTIFS('Task Tracker'!D$5:D$200,A28,'Task Tracker'!G$5:G$200,"Not Started")</f>
        <v>0</v>
      </c>
      <c r="D28" s="22">
        <f>COUNTIFS('Task Tracker'!D$5:D$200,A28,'Task Tracker'!G$5:G$200,"In Progress")</f>
        <v>0</v>
      </c>
      <c r="E28" s="22">
        <f>COUNTIFS('Task Tracker'!D$5:D$200,A28,'Task Tracker'!G$5:G$200,"In Review")</f>
        <v>0</v>
      </c>
      <c r="F28" s="22">
        <f>COUNTIFS('Task Tracker'!D$5:D$200,A28,'Task Tracker'!G$5:G$200,"Completed")</f>
        <v>0</v>
      </c>
    </row>
    <row r="29" spans="1:6" ht="15" customHeight="1" x14ac:dyDescent="0.2">
      <c r="A29" s="27" t="s">
        <v>68</v>
      </c>
      <c r="B29" s="22">
        <f>COUNTIF('Task Tracker'!D$5:D$200,A29)</f>
        <v>0</v>
      </c>
      <c r="C29" s="22">
        <f>COUNTIFS('Task Tracker'!D$5:D$200,A29,'Task Tracker'!G$5:G$200,"Not Started")</f>
        <v>0</v>
      </c>
      <c r="D29" s="22">
        <f>COUNTIFS('Task Tracker'!D$5:D$200,A29,'Task Tracker'!G$5:G$200,"In Progress")</f>
        <v>0</v>
      </c>
      <c r="E29" s="22">
        <f>COUNTIFS('Task Tracker'!D$5:D$200,A29,'Task Tracker'!G$5:G$200,"In Review")</f>
        <v>0</v>
      </c>
      <c r="F29" s="22">
        <f>COUNTIFS('Task Tracker'!D$5:D$200,A29,'Task Tracker'!G$5:G$200,"Completed")</f>
        <v>0</v>
      </c>
    </row>
    <row r="30" spans="1:6" ht="15" customHeight="1" x14ac:dyDescent="0.2">
      <c r="A30" s="27" t="s">
        <v>22</v>
      </c>
      <c r="B30" s="22">
        <f>COUNTIF('Task Tracker'!D$5:D$200,A30)</f>
        <v>0</v>
      </c>
      <c r="C30" s="22">
        <f>COUNTIFS('Task Tracker'!D$5:D$200,A30,'Task Tracker'!G$5:G$200,"Not Started")</f>
        <v>0</v>
      </c>
      <c r="D30" s="22">
        <f>COUNTIFS('Task Tracker'!D$5:D$200,A30,'Task Tracker'!G$5:G$200,"In Progress")</f>
        <v>0</v>
      </c>
      <c r="E30" s="22">
        <f>COUNTIFS('Task Tracker'!D$5:D$200,A30,'Task Tracker'!G$5:G$200,"In Review")</f>
        <v>0</v>
      </c>
      <c r="F30" s="22">
        <f>COUNTIFS('Task Tracker'!D$5:D$200,A30,'Task Tracker'!G$5:G$200,"Completed")</f>
        <v>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Tracker</vt:lpstr>
      <vt:lpstr>Team Members</vt:lpstr>
      <vt:lpstr>Brands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Busyra Oryza</cp:lastModifiedBy>
  <cp:revision>0</cp:revision>
  <dcterms:created xsi:type="dcterms:W3CDTF">2026-04-17T07:30:34Z</dcterms:created>
  <dcterms:modified xsi:type="dcterms:W3CDTF">2026-05-03T11:02:20Z</dcterms:modified>
  <dc:language>en-US</dc:language>
</cp:coreProperties>
</file>