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sk Tracker" sheetId="1" state="visible" r:id="rId3"/>
    <sheet name="Team Members" sheetId="2" state="visible" r:id="rId4"/>
    <sheet name="Brands" sheetId="3" state="visible" r:id="rId5"/>
    <sheet name="Summary" sheetId="4" state="visible" r:id="rId6"/>
  </sheets>
  <definedNames>
    <definedName function="false" hidden="true" localSheetId="0" name="_xlnm._FilterDatabase" vbProcedure="false">'Task Tracker'!$A$4:$K$40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<sst xmlns="http://schemas.openxmlformats.org/spreadsheetml/2006/main" count="361" uniqueCount="162">
  <si>
    <t xml:space="preserve">TEAM TASK &amp; PRODUCTIVITY TRACKER</t>
  </si>
  <si>
    <t xml:space="preserve">Track assignments, deadlines, and workload across all team members and brands</t>
  </si>
  <si>
    <t xml:space="preserve">Task ID</t>
  </si>
  <si>
    <t xml:space="preserve">Task Name</t>
  </si>
  <si>
    <t xml:space="preserve">Assigned To</t>
  </si>
  <si>
    <t xml:space="preserve">Brand</t>
  </si>
  <si>
    <t xml:space="preserve">Task Type</t>
  </si>
  <si>
    <t xml:space="preserve">Priority</t>
  </si>
  <si>
    <t xml:space="preserve">Status</t>
  </si>
  <si>
    <t xml:space="preserve">Start Date</t>
  </si>
  <si>
    <t xml:space="preserve">Deadline</t>
  </si>
  <si>
    <t xml:space="preserve">Completion Date</t>
  </si>
  <si>
    <t xml:space="preserve">Notes</t>
  </si>
  <si>
    <t xml:space="preserve">TSK-001</t>
  </si>
  <si>
    <t xml:space="preserve">Instagram Reels - Product Launch</t>
  </si>
  <si>
    <t xml:space="preserve">Dimas Prasetyo</t>
  </si>
  <si>
    <t xml:space="preserve">Brand Alpha</t>
  </si>
  <si>
    <t xml:space="preserve">Social Media Post</t>
  </si>
  <si>
    <t xml:space="preserve">Medium</t>
  </si>
  <si>
    <t xml:space="preserve">In Progress</t>
  </si>
  <si>
    <t xml:space="preserve">TSK-002</t>
  </si>
  <si>
    <t xml:space="preserve">Facebook Ad Campaign Q2</t>
  </si>
  <si>
    <t xml:space="preserve">Brand Epsilon</t>
  </si>
  <si>
    <t xml:space="preserve">Video Production</t>
  </si>
  <si>
    <t xml:space="preserve">Not Started</t>
  </si>
  <si>
    <t xml:space="preserve">TSK-003</t>
  </si>
  <si>
    <t xml:space="preserve">Brand Guidelines Update</t>
  </si>
  <si>
    <t xml:space="preserve">Dewi Lestari</t>
  </si>
  <si>
    <t xml:space="preserve">Brand Guidelines</t>
  </si>
  <si>
    <t xml:space="preserve">High</t>
  </si>
  <si>
    <t xml:space="preserve">TSK-004</t>
  </si>
  <si>
    <t xml:space="preserve">Monthly Newsletter Draft</t>
  </si>
  <si>
    <t xml:space="preserve">Fajar Nugroho</t>
  </si>
  <si>
    <t xml:space="preserve">Brand Beta</t>
  </si>
  <si>
    <t xml:space="preserve">Email Marketing</t>
  </si>
  <si>
    <t xml:space="preserve">Completed</t>
  </si>
  <si>
    <t xml:space="preserve">TSK-005</t>
  </si>
  <si>
    <t xml:space="preserve">TikTok Content Calendar</t>
  </si>
  <si>
    <t xml:space="preserve">Putri Wulandari</t>
  </si>
  <si>
    <t xml:space="preserve">Brand Gamma</t>
  </si>
  <si>
    <t xml:space="preserve">Graphic Design</t>
  </si>
  <si>
    <t xml:space="preserve">TSK-006</t>
  </si>
  <si>
    <t xml:space="preserve">Product Photography Session</t>
  </si>
  <si>
    <t xml:space="preserve">Siti Rahayu</t>
  </si>
  <si>
    <t xml:space="preserve">Ad Management</t>
  </si>
  <si>
    <t xml:space="preserve">TSK-007</t>
  </si>
  <si>
    <t xml:space="preserve">Website Banner Design</t>
  </si>
  <si>
    <t xml:space="preserve">Photography</t>
  </si>
  <si>
    <t xml:space="preserve">In Review</t>
  </si>
  <si>
    <t xml:space="preserve">TSK-008</t>
  </si>
  <si>
    <t xml:space="preserve">Email Drip Campaign Setup</t>
  </si>
  <si>
    <t xml:space="preserve">TSK-009</t>
  </si>
  <si>
    <t xml:space="preserve">Influencer Outreach List</t>
  </si>
  <si>
    <t xml:space="preserve">TSK-010</t>
  </si>
  <si>
    <t xml:space="preserve">YouTube Video Editing</t>
  </si>
  <si>
    <t xml:space="preserve">Event Planning</t>
  </si>
  <si>
    <t xml:space="preserve">Low</t>
  </si>
  <si>
    <t xml:space="preserve">TSK-011</t>
  </si>
  <si>
    <t xml:space="preserve">Blog Post - Industry Trends</t>
  </si>
  <si>
    <t xml:space="preserve">Hendra Wijaya</t>
  </si>
  <si>
    <t xml:space="preserve">TSK-012</t>
  </si>
  <si>
    <t xml:space="preserve">Press Release Draft</t>
  </si>
  <si>
    <t xml:space="preserve">TSK-013</t>
  </si>
  <si>
    <t xml:space="preserve">Social Media Audit Report</t>
  </si>
  <si>
    <t xml:space="preserve">Rizki Hidayat</t>
  </si>
  <si>
    <t xml:space="preserve">Copywriting</t>
  </si>
  <si>
    <t xml:space="preserve">TSK-014</t>
  </si>
  <si>
    <t xml:space="preserve">Google Ads Optimization</t>
  </si>
  <si>
    <t xml:space="preserve">Brand Delta</t>
  </si>
  <si>
    <t xml:space="preserve">Content Strategy</t>
  </si>
  <si>
    <t xml:space="preserve">TSK-015</t>
  </si>
  <si>
    <t xml:space="preserve">Landing Page Wireframe</t>
  </si>
  <si>
    <t xml:space="preserve">Budi Santoso</t>
  </si>
  <si>
    <t xml:space="preserve">TSK-016</t>
  </si>
  <si>
    <t xml:space="preserve">Customer Testimonial Video</t>
  </si>
  <si>
    <t xml:space="preserve">Maya Kusuma</t>
  </si>
  <si>
    <t xml:space="preserve">On Hold</t>
  </si>
  <si>
    <t xml:space="preserve">TSK-017</t>
  </si>
  <si>
    <t xml:space="preserve">Podcast Episode Editing</t>
  </si>
  <si>
    <t xml:space="preserve">TSK-018</t>
  </si>
  <si>
    <t xml:space="preserve">Competitor Analysis Report</t>
  </si>
  <si>
    <t xml:space="preserve">TSK-019</t>
  </si>
  <si>
    <t xml:space="preserve">Whitepapers Design Layout</t>
  </si>
  <si>
    <t xml:space="preserve">Market Research</t>
  </si>
  <si>
    <t xml:space="preserve">TSK-020</t>
  </si>
  <si>
    <t xml:space="preserve">Trade Show Materials</t>
  </si>
  <si>
    <t xml:space="preserve">TSK-021</t>
  </si>
  <si>
    <t xml:space="preserve">Holiday Campaign Planning</t>
  </si>
  <si>
    <t xml:space="preserve">TSK-022</t>
  </si>
  <si>
    <t xml:space="preserve">SEO Content Brief</t>
  </si>
  <si>
    <t xml:space="preserve">TSK-023</t>
  </si>
  <si>
    <t xml:space="preserve">Brand Awareness Survey</t>
  </si>
  <si>
    <t xml:space="preserve">Anita Sari</t>
  </si>
  <si>
    <t xml:space="preserve">TSK-024</t>
  </si>
  <si>
    <t xml:space="preserve">Partnership Proposal Deck</t>
  </si>
  <si>
    <t xml:space="preserve">Adi Pratama</t>
  </si>
  <si>
    <t xml:space="preserve">TSK-025</t>
  </si>
  <si>
    <t xml:space="preserve">Weekly Analytics Report</t>
  </si>
  <si>
    <t xml:space="preserve">TSK-026</t>
  </si>
  <si>
    <t xml:space="preserve">Creative Brief - New Product</t>
  </si>
  <si>
    <t xml:space="preserve">TSK-027</t>
  </si>
  <si>
    <t xml:space="preserve">Radio Ad Script</t>
  </si>
  <si>
    <t xml:space="preserve">Rina Fitriani</t>
  </si>
  <si>
    <t xml:space="preserve">TSK-028</t>
  </si>
  <si>
    <t xml:space="preserve">Billboard Design Concept</t>
  </si>
  <si>
    <t xml:space="preserve">TSK-029</t>
  </si>
  <si>
    <t xml:space="preserve">App Store Screenshots</t>
  </si>
  <si>
    <t xml:space="preserve">TSK-030</t>
  </si>
  <si>
    <t xml:space="preserve">Loyalty Program Email</t>
  </si>
  <si>
    <t xml:space="preserve">TSK-031</t>
  </si>
  <si>
    <t xml:space="preserve">Webinar Presentation Slides</t>
  </si>
  <si>
    <t xml:space="preserve">TSK-032</t>
  </si>
  <si>
    <t xml:space="preserve">Annual Report Design</t>
  </si>
  <si>
    <t xml:space="preserve">TSK-033</t>
  </si>
  <si>
    <t xml:space="preserve">Social Listening Report</t>
  </si>
  <si>
    <t xml:space="preserve">TSK-034</t>
  </si>
  <si>
    <t xml:space="preserve">Rebranding Mood Board</t>
  </si>
  <si>
    <t xml:space="preserve">TSK-035</t>
  </si>
  <si>
    <t xml:space="preserve">Video Testimonials Edit</t>
  </si>
  <si>
    <t xml:space="preserve">TSK-036</t>
  </si>
  <si>
    <t xml:space="preserve">Content Repurposing Plan</t>
  </si>
  <si>
    <t xml:space="preserve">TEAM DIRECTORY</t>
  </si>
  <si>
    <t xml:space="preserve">Name</t>
  </si>
  <si>
    <t xml:space="preserve">Role</t>
  </si>
  <si>
    <t xml:space="preserve">Department</t>
  </si>
  <si>
    <t xml:space="preserve">Max Capacity (tasks/week)</t>
  </si>
  <si>
    <t xml:space="preserve">Content Creator</t>
  </si>
  <si>
    <t xml:space="preserve">Content</t>
  </si>
  <si>
    <t xml:space="preserve">Graphic Designer</t>
  </si>
  <si>
    <t xml:space="preserve">Design</t>
  </si>
  <si>
    <t xml:space="preserve">Social Media Manager</t>
  </si>
  <si>
    <t xml:space="preserve">Social Media</t>
  </si>
  <si>
    <t xml:space="preserve">Copywriter</t>
  </si>
  <si>
    <t xml:space="preserve">Video Editor</t>
  </si>
  <si>
    <t xml:space="preserve">Production</t>
  </si>
  <si>
    <t xml:space="preserve">Campaign Manager</t>
  </si>
  <si>
    <t xml:space="preserve">Marketing</t>
  </si>
  <si>
    <t xml:space="preserve">Content Strategist</t>
  </si>
  <si>
    <t xml:space="preserve">Strategy</t>
  </si>
  <si>
    <t xml:space="preserve">Email Specialist</t>
  </si>
  <si>
    <t xml:space="preserve">Photographer</t>
  </si>
  <si>
    <t xml:space="preserve">Brand Manager</t>
  </si>
  <si>
    <t xml:space="preserve">Market Analyst</t>
  </si>
  <si>
    <t xml:space="preserve">Research</t>
  </si>
  <si>
    <t xml:space="preserve">Event Coordinator</t>
  </si>
  <si>
    <t xml:space="preserve">Events</t>
  </si>
  <si>
    <t xml:space="preserve">BRAND DIRECTORY</t>
  </si>
  <si>
    <t xml:space="preserve">Brand Name</t>
  </si>
  <si>
    <t xml:space="preserve">Industry</t>
  </si>
  <si>
    <t xml:space="preserve">Technology</t>
  </si>
  <si>
    <t xml:space="preserve">Active</t>
  </si>
  <si>
    <t xml:space="preserve">Fashion</t>
  </si>
  <si>
    <t xml:space="preserve">Food &amp; Beverage</t>
  </si>
  <si>
    <t xml:space="preserve">Healthcare</t>
  </si>
  <si>
    <t xml:space="preserve">Finance</t>
  </si>
  <si>
    <t xml:space="preserve">TASK SUMMARY</t>
  </si>
  <si>
    <t xml:space="preserve">Total Tasks</t>
  </si>
  <si>
    <t xml:space="preserve">Overdue (past deadline, not completed)</t>
  </si>
  <si>
    <t xml:space="preserve">TASKS PER TEAM MEMBER</t>
  </si>
  <si>
    <t xml:space="preserve">Team Member</t>
  </si>
  <si>
    <t xml:space="preserve">Total</t>
  </si>
  <si>
    <t xml:space="preserve">TASKS PER BRAND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</si>
</sst>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-mmm\-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2A4A"/>
      <name val="Arial"/>
      <family val="0"/>
      <charset val="1"/>
    </font>
    <font>
      <i val="true"/>
      <sz val="10"/>
      <color rgb="FF66708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667085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D97706"/>
      <name val="Arial"/>
      <family val="0"/>
      <charset val="1"/>
    </font>
    <font>
      <b val="true"/>
      <sz val="10"/>
      <color rgb="FFDC2626"/>
      <name val="Arial"/>
      <family val="0"/>
      <charset val="1"/>
    </font>
    <font>
      <b val="true"/>
      <sz val="10"/>
      <color rgb="FF059669"/>
      <name val="Arial"/>
      <family val="0"/>
      <charset val="1"/>
    </font>
    <font>
      <b val="true"/>
      <sz val="11"/>
      <color rgb="FF1B2A4A"/>
      <name val="Arial"/>
      <family val="0"/>
      <charset val="1"/>
    </font>
    <font>
      <b val="true"/>
      <sz val="14"/>
      <color rgb="FF1B2A4A"/>
      <name val="Arial"/>
      <family val="0"/>
      <charset val="1"/>
    </font>
    <font>
      <b val="true"/>
      <sz val="12"/>
      <color rgb="FF1B2A4A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333333"/>
      </patternFill>
    </fill>
    <fill>
      <patternFill patternType="solid">
        <fgColor rgb="FFFEF3C7"/>
        <bgColor rgb="FFFEE2E2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E5E7EB"/>
      </patternFill>
    </fill>
    <fill>
      <patternFill patternType="solid">
        <fgColor rgb="FFD1FAE5"/>
        <bgColor rgb="FFDBEAFE"/>
      </patternFill>
    </fill>
    <fill>
      <patternFill patternType="solid">
        <fgColor rgb="FFDBEAFE"/>
        <bgColor rgb="FFE5E7EB"/>
      </patternFill>
    </fill>
    <fill>
      <patternFill patternType="solid">
        <fgColor rgb="FFE5E7EB"/>
        <bgColor rgb="FFDBEA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B2A4A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6708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059669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E5E7E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D1FAE5"/>
      <rgbColor rgb="FFF9FAFB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D97706"/>
      <rgbColor rgb="FF667085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5"/>
    <col collapsed="false" customWidth="true" hidden="false" outlineLevel="0" max="5" min="3" style="1" width="18"/>
    <col collapsed="false" customWidth="true" hidden="false" outlineLevel="0" max="6" min="6" style="1" width="12"/>
    <col collapsed="false" customWidth="true" hidden="false" outlineLevel="0" max="9" min="7" style="1" width="14"/>
    <col collapsed="false" customWidth="true" hidden="false" outlineLevel="0" max="10" min="10" style="1" width="16"/>
    <col collapsed="false" customWidth="true" hidden="false" outlineLevel="0" max="11" min="11" style="1" width="30"/>
  </cols>
  <sheetData>
    <row r="1" customFormat="false" ht="39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15" hidden="false" customHeight="true" outlineLevel="0" collapsed="false">
      <c r="A5" s="5" t="s">
        <v>13</v>
      </c>
      <c r="B5" s="6" t="s">
        <v>14</v>
      </c>
      <c r="C5" s="7" t="s">
        <v>15</v>
      </c>
      <c r="D5" s="7" t="s">
        <v>16</v>
      </c>
      <c r="E5" s="7" t="s">
        <v>17</v>
      </c>
      <c r="F5" s="8" t="s">
        <v>18</v>
      </c>
      <c r="G5" s="9" t="s">
        <v>19</v>
      </c>
      <c r="H5" s="10" t="n">
        <v>46117</v>
      </c>
      <c r="I5" s="10" t="n">
        <v>46123</v>
      </c>
      <c r="J5" s="7"/>
      <c r="K5" s="6"/>
    </row>
    <row r="6" customFormat="false" ht="15" hidden="false" customHeight="true" outlineLevel="0" collapsed="false">
      <c r="A6" s="11" t="s">
        <v>20</v>
      </c>
      <c r="B6" s="12" t="s">
        <v>21</v>
      </c>
      <c r="C6" s="13" t="s">
        <v>15</v>
      </c>
      <c r="D6" s="13" t="s">
        <v>22</v>
      </c>
      <c r="E6" s="13" t="s">
        <v>23</v>
      </c>
      <c r="F6" s="14" t="s">
        <v>18</v>
      </c>
      <c r="G6" s="15" t="s">
        <v>24</v>
      </c>
      <c r="H6" s="16" t="n">
        <v>46115</v>
      </c>
      <c r="I6" s="16" t="n">
        <v>46124</v>
      </c>
      <c r="J6" s="13"/>
      <c r="K6" s="12"/>
    </row>
    <row r="7" customFormat="false" ht="15" hidden="false" customHeight="true" outlineLevel="0" collapsed="false">
      <c r="A7" s="5" t="s">
        <v>25</v>
      </c>
      <c r="B7" s="6" t="s">
        <v>26</v>
      </c>
      <c r="C7" s="7" t="s">
        <v>27</v>
      </c>
      <c r="D7" s="7" t="s">
        <v>22</v>
      </c>
      <c r="E7" s="7" t="s">
        <v>28</v>
      </c>
      <c r="F7" s="17" t="s">
        <v>29</v>
      </c>
      <c r="G7" s="9" t="s">
        <v>19</v>
      </c>
      <c r="H7" s="10" t="n">
        <v>46133</v>
      </c>
      <c r="I7" s="10" t="n">
        <v>46153</v>
      </c>
      <c r="J7" s="7"/>
      <c r="K7" s="6"/>
    </row>
    <row r="8" customFormat="false" ht="15" hidden="false" customHeight="true" outlineLevel="0" collapsed="false">
      <c r="A8" s="11" t="s">
        <v>30</v>
      </c>
      <c r="B8" s="12" t="s">
        <v>31</v>
      </c>
      <c r="C8" s="13" t="s">
        <v>32</v>
      </c>
      <c r="D8" s="13" t="s">
        <v>33</v>
      </c>
      <c r="E8" s="13" t="s">
        <v>34</v>
      </c>
      <c r="F8" s="14" t="s">
        <v>18</v>
      </c>
      <c r="G8" s="18" t="s">
        <v>35</v>
      </c>
      <c r="H8" s="16" t="n">
        <v>46113</v>
      </c>
      <c r="I8" s="16" t="n">
        <v>46121</v>
      </c>
      <c r="J8" s="16" t="n">
        <v>46118</v>
      </c>
      <c r="K8" s="12"/>
    </row>
    <row r="9" customFormat="false" ht="15" hidden="false" customHeight="true" outlineLevel="0" collapsed="false">
      <c r="A9" s="5" t="s">
        <v>36</v>
      </c>
      <c r="B9" s="6" t="s">
        <v>37</v>
      </c>
      <c r="C9" s="7" t="s">
        <v>38</v>
      </c>
      <c r="D9" s="7" t="s">
        <v>39</v>
      </c>
      <c r="E9" s="7" t="s">
        <v>40</v>
      </c>
      <c r="F9" s="17" t="s">
        <v>29</v>
      </c>
      <c r="G9" s="18" t="s">
        <v>35</v>
      </c>
      <c r="H9" s="10" t="n">
        <v>46116</v>
      </c>
      <c r="I9" s="10" t="n">
        <v>46121</v>
      </c>
      <c r="J9" s="10" t="n">
        <v>46118</v>
      </c>
      <c r="K9" s="6"/>
    </row>
    <row r="10" customFormat="false" ht="15" hidden="false" customHeight="true" outlineLevel="0" collapsed="false">
      <c r="A10" s="11" t="s">
        <v>41</v>
      </c>
      <c r="B10" s="12" t="s">
        <v>42</v>
      </c>
      <c r="C10" s="13" t="s">
        <v>43</v>
      </c>
      <c r="D10" s="13" t="s">
        <v>39</v>
      </c>
      <c r="E10" s="13" t="s">
        <v>44</v>
      </c>
      <c r="F10" s="14" t="s">
        <v>18</v>
      </c>
      <c r="G10" s="18" t="s">
        <v>35</v>
      </c>
      <c r="H10" s="16" t="n">
        <v>46136</v>
      </c>
      <c r="I10" s="16" t="n">
        <v>46153</v>
      </c>
      <c r="J10" s="16" t="n">
        <v>46153</v>
      </c>
      <c r="K10" s="12"/>
    </row>
    <row r="11" customFormat="false" ht="15" hidden="false" customHeight="true" outlineLevel="0" collapsed="false">
      <c r="A11" s="5" t="s">
        <v>45</v>
      </c>
      <c r="B11" s="6" t="s">
        <v>46</v>
      </c>
      <c r="C11" s="7" t="s">
        <v>32</v>
      </c>
      <c r="D11" s="7" t="s">
        <v>16</v>
      </c>
      <c r="E11" s="7" t="s">
        <v>47</v>
      </c>
      <c r="F11" s="17" t="s">
        <v>29</v>
      </c>
      <c r="G11" s="19" t="s">
        <v>48</v>
      </c>
      <c r="H11" s="10" t="n">
        <v>46124</v>
      </c>
      <c r="I11" s="10" t="n">
        <v>46145</v>
      </c>
      <c r="J11" s="7"/>
      <c r="K11" s="6"/>
    </row>
    <row r="12" customFormat="false" ht="15" hidden="false" customHeight="true" outlineLevel="0" collapsed="false">
      <c r="A12" s="11" t="s">
        <v>49</v>
      </c>
      <c r="B12" s="12" t="s">
        <v>50</v>
      </c>
      <c r="C12" s="13" t="s">
        <v>27</v>
      </c>
      <c r="D12" s="13" t="s">
        <v>16</v>
      </c>
      <c r="E12" s="13" t="s">
        <v>17</v>
      </c>
      <c r="F12" s="14" t="s">
        <v>18</v>
      </c>
      <c r="G12" s="18" t="s">
        <v>35</v>
      </c>
      <c r="H12" s="16" t="n">
        <v>46115</v>
      </c>
      <c r="I12" s="16" t="n">
        <v>46125</v>
      </c>
      <c r="J12" s="16" t="n">
        <v>46125</v>
      </c>
      <c r="K12" s="12"/>
    </row>
    <row r="13" customFormat="false" ht="15" hidden="false" customHeight="true" outlineLevel="0" collapsed="false">
      <c r="A13" s="5" t="s">
        <v>51</v>
      </c>
      <c r="B13" s="6" t="s">
        <v>52</v>
      </c>
      <c r="C13" s="7" t="s">
        <v>32</v>
      </c>
      <c r="D13" s="7" t="s">
        <v>39</v>
      </c>
      <c r="E13" s="7" t="s">
        <v>34</v>
      </c>
      <c r="F13" s="8" t="s">
        <v>18</v>
      </c>
      <c r="G13" s="9" t="s">
        <v>19</v>
      </c>
      <c r="H13" s="10" t="n">
        <v>46124</v>
      </c>
      <c r="I13" s="10" t="n">
        <v>46138</v>
      </c>
      <c r="J13" s="7"/>
      <c r="K13" s="6"/>
    </row>
    <row r="14" customFormat="false" ht="15" hidden="false" customHeight="true" outlineLevel="0" collapsed="false">
      <c r="A14" s="11" t="s">
        <v>53</v>
      </c>
      <c r="B14" s="12" t="s">
        <v>54</v>
      </c>
      <c r="C14" s="13" t="s">
        <v>27</v>
      </c>
      <c r="D14" s="13" t="s">
        <v>39</v>
      </c>
      <c r="E14" s="13" t="s">
        <v>55</v>
      </c>
      <c r="F14" s="20" t="s">
        <v>56</v>
      </c>
      <c r="G14" s="19" t="s">
        <v>48</v>
      </c>
      <c r="H14" s="16" t="n">
        <v>46132</v>
      </c>
      <c r="I14" s="16" t="n">
        <v>46140</v>
      </c>
      <c r="J14" s="13"/>
      <c r="K14" s="12"/>
    </row>
    <row r="15" customFormat="false" ht="15" hidden="false" customHeight="true" outlineLevel="0" collapsed="false">
      <c r="A15" s="5" t="s">
        <v>57</v>
      </c>
      <c r="B15" s="6" t="s">
        <v>58</v>
      </c>
      <c r="C15" s="7" t="s">
        <v>59</v>
      </c>
      <c r="D15" s="7" t="s">
        <v>33</v>
      </c>
      <c r="E15" s="7" t="s">
        <v>40</v>
      </c>
      <c r="F15" s="8" t="s">
        <v>18</v>
      </c>
      <c r="G15" s="9" t="s">
        <v>19</v>
      </c>
      <c r="H15" s="10" t="n">
        <v>46133</v>
      </c>
      <c r="I15" s="10" t="n">
        <v>46153</v>
      </c>
      <c r="J15" s="7"/>
      <c r="K15" s="6"/>
    </row>
    <row r="16" customFormat="false" ht="15" hidden="false" customHeight="true" outlineLevel="0" collapsed="false">
      <c r="A16" s="11" t="s">
        <v>60</v>
      </c>
      <c r="B16" s="12" t="s">
        <v>61</v>
      </c>
      <c r="C16" s="13" t="s">
        <v>27</v>
      </c>
      <c r="D16" s="13" t="s">
        <v>39</v>
      </c>
      <c r="E16" s="13" t="s">
        <v>17</v>
      </c>
      <c r="F16" s="21" t="s">
        <v>29</v>
      </c>
      <c r="G16" s="15" t="s">
        <v>24</v>
      </c>
      <c r="H16" s="16" t="n">
        <v>46123</v>
      </c>
      <c r="I16" s="16" t="n">
        <v>46138</v>
      </c>
      <c r="J16" s="13"/>
      <c r="K16" s="12"/>
    </row>
    <row r="17" customFormat="false" ht="15" hidden="false" customHeight="true" outlineLevel="0" collapsed="false">
      <c r="A17" s="5" t="s">
        <v>62</v>
      </c>
      <c r="B17" s="6" t="s">
        <v>63</v>
      </c>
      <c r="C17" s="7" t="s">
        <v>64</v>
      </c>
      <c r="D17" s="7" t="s">
        <v>16</v>
      </c>
      <c r="E17" s="7" t="s">
        <v>65</v>
      </c>
      <c r="F17" s="22" t="s">
        <v>56</v>
      </c>
      <c r="G17" s="19" t="s">
        <v>48</v>
      </c>
      <c r="H17" s="10" t="n">
        <v>46135</v>
      </c>
      <c r="I17" s="10" t="n">
        <v>46148</v>
      </c>
      <c r="J17" s="7"/>
      <c r="K17" s="6"/>
    </row>
    <row r="18" customFormat="false" ht="15" hidden="false" customHeight="true" outlineLevel="0" collapsed="false">
      <c r="A18" s="11" t="s">
        <v>66</v>
      </c>
      <c r="B18" s="12" t="s">
        <v>67</v>
      </c>
      <c r="C18" s="13" t="s">
        <v>27</v>
      </c>
      <c r="D18" s="13" t="s">
        <v>68</v>
      </c>
      <c r="E18" s="13" t="s">
        <v>69</v>
      </c>
      <c r="F18" s="20" t="s">
        <v>56</v>
      </c>
      <c r="G18" s="19" t="s">
        <v>48</v>
      </c>
      <c r="H18" s="16" t="n">
        <v>46117</v>
      </c>
      <c r="I18" s="16" t="n">
        <v>46128</v>
      </c>
      <c r="J18" s="13"/>
      <c r="K18" s="12"/>
    </row>
    <row r="19" customFormat="false" ht="15" hidden="false" customHeight="true" outlineLevel="0" collapsed="false">
      <c r="A19" s="5" t="s">
        <v>70</v>
      </c>
      <c r="B19" s="6" t="s">
        <v>71</v>
      </c>
      <c r="C19" s="7" t="s">
        <v>72</v>
      </c>
      <c r="D19" s="7" t="s">
        <v>33</v>
      </c>
      <c r="E19" s="7" t="s">
        <v>55</v>
      </c>
      <c r="F19" s="8" t="s">
        <v>18</v>
      </c>
      <c r="G19" s="9" t="s">
        <v>19</v>
      </c>
      <c r="H19" s="10" t="n">
        <v>46131</v>
      </c>
      <c r="I19" s="10" t="n">
        <v>46147</v>
      </c>
      <c r="J19" s="7"/>
      <c r="K19" s="6"/>
    </row>
    <row r="20" customFormat="false" ht="15" hidden="false" customHeight="true" outlineLevel="0" collapsed="false">
      <c r="A20" s="11" t="s">
        <v>73</v>
      </c>
      <c r="B20" s="12" t="s">
        <v>74</v>
      </c>
      <c r="C20" s="13" t="s">
        <v>75</v>
      </c>
      <c r="D20" s="13" t="s">
        <v>68</v>
      </c>
      <c r="E20" s="13" t="s">
        <v>44</v>
      </c>
      <c r="F20" s="21" t="s">
        <v>29</v>
      </c>
      <c r="G20" s="23" t="s">
        <v>76</v>
      </c>
      <c r="H20" s="16" t="n">
        <v>46129</v>
      </c>
      <c r="I20" s="16" t="n">
        <v>46147</v>
      </c>
      <c r="J20" s="13"/>
      <c r="K20" s="12"/>
    </row>
    <row r="21" customFormat="false" ht="15" hidden="false" customHeight="true" outlineLevel="0" collapsed="false">
      <c r="A21" s="5" t="s">
        <v>77</v>
      </c>
      <c r="B21" s="6" t="s">
        <v>78</v>
      </c>
      <c r="C21" s="7" t="s">
        <v>43</v>
      </c>
      <c r="D21" s="7" t="s">
        <v>16</v>
      </c>
      <c r="E21" s="7" t="s">
        <v>23</v>
      </c>
      <c r="F21" s="17" t="s">
        <v>29</v>
      </c>
      <c r="G21" s="15" t="s">
        <v>24</v>
      </c>
      <c r="H21" s="10" t="n">
        <v>46134</v>
      </c>
      <c r="I21" s="10" t="n">
        <v>46150</v>
      </c>
      <c r="J21" s="7"/>
      <c r="K21" s="6"/>
    </row>
    <row r="22" customFormat="false" ht="15" hidden="false" customHeight="true" outlineLevel="0" collapsed="false">
      <c r="A22" s="11" t="s">
        <v>79</v>
      </c>
      <c r="B22" s="12" t="s">
        <v>80</v>
      </c>
      <c r="C22" s="13" t="s">
        <v>75</v>
      </c>
      <c r="D22" s="13" t="s">
        <v>16</v>
      </c>
      <c r="E22" s="13" t="s">
        <v>69</v>
      </c>
      <c r="F22" s="14" t="s">
        <v>18</v>
      </c>
      <c r="G22" s="23" t="s">
        <v>76</v>
      </c>
      <c r="H22" s="16" t="n">
        <v>46129</v>
      </c>
      <c r="I22" s="16" t="n">
        <v>46140</v>
      </c>
      <c r="J22" s="13"/>
      <c r="K22" s="12"/>
    </row>
    <row r="23" customFormat="false" ht="15" hidden="false" customHeight="true" outlineLevel="0" collapsed="false">
      <c r="A23" s="5" t="s">
        <v>81</v>
      </c>
      <c r="B23" s="6" t="s">
        <v>82</v>
      </c>
      <c r="C23" s="7" t="s">
        <v>59</v>
      </c>
      <c r="D23" s="7" t="s">
        <v>16</v>
      </c>
      <c r="E23" s="7" t="s">
        <v>83</v>
      </c>
      <c r="F23" s="8" t="s">
        <v>18</v>
      </c>
      <c r="G23" s="18" t="s">
        <v>35</v>
      </c>
      <c r="H23" s="10" t="n">
        <v>46130</v>
      </c>
      <c r="I23" s="10" t="n">
        <v>46141</v>
      </c>
      <c r="J23" s="10" t="n">
        <v>46139</v>
      </c>
      <c r="K23" s="6"/>
    </row>
    <row r="24" customFormat="false" ht="15" hidden="false" customHeight="true" outlineLevel="0" collapsed="false">
      <c r="A24" s="11" t="s">
        <v>84</v>
      </c>
      <c r="B24" s="12" t="s">
        <v>85</v>
      </c>
      <c r="C24" s="13" t="s">
        <v>43</v>
      </c>
      <c r="D24" s="13" t="s">
        <v>39</v>
      </c>
      <c r="E24" s="13" t="s">
        <v>69</v>
      </c>
      <c r="F24" s="21" t="s">
        <v>29</v>
      </c>
      <c r="G24" s="15" t="s">
        <v>24</v>
      </c>
      <c r="H24" s="16" t="n">
        <v>46136</v>
      </c>
      <c r="I24" s="16" t="n">
        <v>46147</v>
      </c>
      <c r="J24" s="13"/>
      <c r="K24" s="12"/>
    </row>
    <row r="25" customFormat="false" ht="15" hidden="false" customHeight="true" outlineLevel="0" collapsed="false">
      <c r="A25" s="5" t="s">
        <v>86</v>
      </c>
      <c r="B25" s="6" t="s">
        <v>87</v>
      </c>
      <c r="C25" s="7" t="s">
        <v>59</v>
      </c>
      <c r="D25" s="7" t="s">
        <v>33</v>
      </c>
      <c r="E25" s="7" t="s">
        <v>47</v>
      </c>
      <c r="F25" s="22" t="s">
        <v>56</v>
      </c>
      <c r="G25" s="18" t="s">
        <v>35</v>
      </c>
      <c r="H25" s="10" t="n">
        <v>46122</v>
      </c>
      <c r="I25" s="10" t="n">
        <v>46141</v>
      </c>
      <c r="J25" s="10" t="n">
        <v>46140</v>
      </c>
      <c r="K25" s="6"/>
    </row>
    <row r="26" customFormat="false" ht="15" hidden="false" customHeight="true" outlineLevel="0" collapsed="false">
      <c r="A26" s="11" t="s">
        <v>88</v>
      </c>
      <c r="B26" s="12" t="s">
        <v>89</v>
      </c>
      <c r="C26" s="13" t="s">
        <v>72</v>
      </c>
      <c r="D26" s="13" t="s">
        <v>39</v>
      </c>
      <c r="E26" s="13" t="s">
        <v>40</v>
      </c>
      <c r="F26" s="14" t="s">
        <v>18</v>
      </c>
      <c r="G26" s="18" t="s">
        <v>35</v>
      </c>
      <c r="H26" s="16" t="n">
        <v>46129</v>
      </c>
      <c r="I26" s="16" t="n">
        <v>46132</v>
      </c>
      <c r="J26" s="16" t="n">
        <v>46130</v>
      </c>
      <c r="K26" s="12"/>
    </row>
    <row r="27" customFormat="false" ht="15" hidden="false" customHeight="true" outlineLevel="0" collapsed="false">
      <c r="A27" s="5" t="s">
        <v>90</v>
      </c>
      <c r="B27" s="6" t="s">
        <v>91</v>
      </c>
      <c r="C27" s="7" t="s">
        <v>92</v>
      </c>
      <c r="D27" s="7" t="s">
        <v>16</v>
      </c>
      <c r="E27" s="7" t="s">
        <v>23</v>
      </c>
      <c r="F27" s="22" t="s">
        <v>56</v>
      </c>
      <c r="G27" s="18" t="s">
        <v>35</v>
      </c>
      <c r="H27" s="10" t="n">
        <v>46138</v>
      </c>
      <c r="I27" s="10" t="n">
        <v>46150</v>
      </c>
      <c r="J27" s="10" t="n">
        <v>46149</v>
      </c>
      <c r="K27" s="6"/>
    </row>
    <row r="28" customFormat="false" ht="15" hidden="false" customHeight="true" outlineLevel="0" collapsed="false">
      <c r="A28" s="11" t="s">
        <v>93</v>
      </c>
      <c r="B28" s="12" t="s">
        <v>94</v>
      </c>
      <c r="C28" s="13" t="s">
        <v>95</v>
      </c>
      <c r="D28" s="13" t="s">
        <v>33</v>
      </c>
      <c r="E28" s="13" t="s">
        <v>28</v>
      </c>
      <c r="F28" s="20" t="s">
        <v>56</v>
      </c>
      <c r="G28" s="15" t="s">
        <v>24</v>
      </c>
      <c r="H28" s="16" t="n">
        <v>46128</v>
      </c>
      <c r="I28" s="16" t="n">
        <v>46133</v>
      </c>
      <c r="J28" s="13"/>
      <c r="K28" s="12"/>
    </row>
    <row r="29" customFormat="false" ht="15" hidden="false" customHeight="true" outlineLevel="0" collapsed="false">
      <c r="A29" s="5" t="s">
        <v>96</v>
      </c>
      <c r="B29" s="6" t="s">
        <v>97</v>
      </c>
      <c r="C29" s="7" t="s">
        <v>59</v>
      </c>
      <c r="D29" s="7" t="s">
        <v>33</v>
      </c>
      <c r="E29" s="7" t="s">
        <v>40</v>
      </c>
      <c r="F29" s="8" t="s">
        <v>18</v>
      </c>
      <c r="G29" s="23" t="s">
        <v>76</v>
      </c>
      <c r="H29" s="10" t="n">
        <v>46118</v>
      </c>
      <c r="I29" s="10" t="n">
        <v>46129</v>
      </c>
      <c r="J29" s="7"/>
      <c r="K29" s="6"/>
    </row>
    <row r="30" customFormat="false" ht="15" hidden="false" customHeight="true" outlineLevel="0" collapsed="false">
      <c r="A30" s="11" t="s">
        <v>98</v>
      </c>
      <c r="B30" s="12" t="s">
        <v>99</v>
      </c>
      <c r="C30" s="13" t="s">
        <v>59</v>
      </c>
      <c r="D30" s="13" t="s">
        <v>22</v>
      </c>
      <c r="E30" s="13" t="s">
        <v>69</v>
      </c>
      <c r="F30" s="20" t="s">
        <v>56</v>
      </c>
      <c r="G30" s="23" t="s">
        <v>76</v>
      </c>
      <c r="H30" s="16" t="n">
        <v>46137</v>
      </c>
      <c r="I30" s="16" t="n">
        <v>46146</v>
      </c>
      <c r="J30" s="13"/>
      <c r="K30" s="12"/>
    </row>
    <row r="31" customFormat="false" ht="15" hidden="false" customHeight="true" outlineLevel="0" collapsed="false">
      <c r="A31" s="5" t="s">
        <v>100</v>
      </c>
      <c r="B31" s="6" t="s">
        <v>101</v>
      </c>
      <c r="C31" s="7" t="s">
        <v>102</v>
      </c>
      <c r="D31" s="7" t="s">
        <v>39</v>
      </c>
      <c r="E31" s="7" t="s">
        <v>69</v>
      </c>
      <c r="F31" s="22" t="s">
        <v>56</v>
      </c>
      <c r="G31" s="19" t="s">
        <v>48</v>
      </c>
      <c r="H31" s="10" t="n">
        <v>46127</v>
      </c>
      <c r="I31" s="10" t="n">
        <v>46146</v>
      </c>
      <c r="J31" s="7"/>
      <c r="K31" s="6"/>
    </row>
    <row r="32" customFormat="false" ht="15" hidden="false" customHeight="true" outlineLevel="0" collapsed="false">
      <c r="A32" s="11" t="s">
        <v>103</v>
      </c>
      <c r="B32" s="12" t="s">
        <v>104</v>
      </c>
      <c r="C32" s="13" t="s">
        <v>92</v>
      </c>
      <c r="D32" s="13" t="s">
        <v>16</v>
      </c>
      <c r="E32" s="13" t="s">
        <v>65</v>
      </c>
      <c r="F32" s="21" t="s">
        <v>29</v>
      </c>
      <c r="G32" s="9" t="s">
        <v>19</v>
      </c>
      <c r="H32" s="16" t="n">
        <v>46131</v>
      </c>
      <c r="I32" s="16" t="n">
        <v>46151</v>
      </c>
      <c r="J32" s="13"/>
      <c r="K32" s="12"/>
    </row>
    <row r="33" customFormat="false" ht="15" hidden="false" customHeight="true" outlineLevel="0" collapsed="false">
      <c r="A33" s="5" t="s">
        <v>105</v>
      </c>
      <c r="B33" s="6" t="s">
        <v>106</v>
      </c>
      <c r="C33" s="7" t="s">
        <v>27</v>
      </c>
      <c r="D33" s="7" t="s">
        <v>22</v>
      </c>
      <c r="E33" s="7" t="s">
        <v>65</v>
      </c>
      <c r="F33" s="17" t="s">
        <v>29</v>
      </c>
      <c r="G33" s="18" t="s">
        <v>35</v>
      </c>
      <c r="H33" s="10" t="n">
        <v>46114</v>
      </c>
      <c r="I33" s="10" t="n">
        <v>46124</v>
      </c>
      <c r="J33" s="10" t="n">
        <v>46124</v>
      </c>
      <c r="K33" s="6"/>
    </row>
    <row r="34" customFormat="false" ht="15" hidden="false" customHeight="true" outlineLevel="0" collapsed="false">
      <c r="A34" s="11" t="s">
        <v>107</v>
      </c>
      <c r="B34" s="12" t="s">
        <v>108</v>
      </c>
      <c r="C34" s="13" t="s">
        <v>95</v>
      </c>
      <c r="D34" s="13" t="s">
        <v>39</v>
      </c>
      <c r="E34" s="13" t="s">
        <v>23</v>
      </c>
      <c r="F34" s="14" t="s">
        <v>18</v>
      </c>
      <c r="G34" s="9" t="s">
        <v>19</v>
      </c>
      <c r="H34" s="16" t="n">
        <v>46128</v>
      </c>
      <c r="I34" s="16" t="n">
        <v>46137</v>
      </c>
      <c r="J34" s="13"/>
      <c r="K34" s="12"/>
    </row>
    <row r="35" customFormat="false" ht="15" hidden="false" customHeight="true" outlineLevel="0" collapsed="false">
      <c r="A35" s="5" t="s">
        <v>109</v>
      </c>
      <c r="B35" s="6" t="s">
        <v>110</v>
      </c>
      <c r="C35" s="7" t="s">
        <v>59</v>
      </c>
      <c r="D35" s="7" t="s">
        <v>33</v>
      </c>
      <c r="E35" s="7" t="s">
        <v>55</v>
      </c>
      <c r="F35" s="22" t="s">
        <v>56</v>
      </c>
      <c r="G35" s="19" t="s">
        <v>48</v>
      </c>
      <c r="H35" s="10" t="n">
        <v>46128</v>
      </c>
      <c r="I35" s="10" t="n">
        <v>46138</v>
      </c>
      <c r="J35" s="7"/>
      <c r="K35" s="6"/>
    </row>
    <row r="36" customFormat="false" ht="15" hidden="false" customHeight="true" outlineLevel="0" collapsed="false">
      <c r="A36" s="11" t="s">
        <v>111</v>
      </c>
      <c r="B36" s="12" t="s">
        <v>112</v>
      </c>
      <c r="C36" s="13" t="s">
        <v>92</v>
      </c>
      <c r="D36" s="13" t="s">
        <v>68</v>
      </c>
      <c r="E36" s="13" t="s">
        <v>65</v>
      </c>
      <c r="F36" s="21" t="s">
        <v>29</v>
      </c>
      <c r="G36" s="19" t="s">
        <v>48</v>
      </c>
      <c r="H36" s="16" t="n">
        <v>46124</v>
      </c>
      <c r="I36" s="16" t="n">
        <v>46140</v>
      </c>
      <c r="J36" s="13"/>
      <c r="K36" s="12"/>
    </row>
    <row r="37" customFormat="false" ht="15" hidden="false" customHeight="true" outlineLevel="0" collapsed="false">
      <c r="A37" s="5" t="s">
        <v>113</v>
      </c>
      <c r="B37" s="6" t="s">
        <v>114</v>
      </c>
      <c r="C37" s="7" t="s">
        <v>32</v>
      </c>
      <c r="D37" s="7" t="s">
        <v>68</v>
      </c>
      <c r="E37" s="7" t="s">
        <v>55</v>
      </c>
      <c r="F37" s="17" t="s">
        <v>29</v>
      </c>
      <c r="G37" s="19" t="s">
        <v>48</v>
      </c>
      <c r="H37" s="10" t="n">
        <v>46133</v>
      </c>
      <c r="I37" s="10" t="n">
        <v>46139</v>
      </c>
      <c r="J37" s="7"/>
      <c r="K37" s="6"/>
    </row>
    <row r="38" customFormat="false" ht="15" hidden="false" customHeight="true" outlineLevel="0" collapsed="false">
      <c r="A38" s="11" t="s">
        <v>115</v>
      </c>
      <c r="B38" s="12" t="s">
        <v>116</v>
      </c>
      <c r="C38" s="13" t="s">
        <v>95</v>
      </c>
      <c r="D38" s="13" t="s">
        <v>68</v>
      </c>
      <c r="E38" s="13" t="s">
        <v>55</v>
      </c>
      <c r="F38" s="14" t="s">
        <v>18</v>
      </c>
      <c r="G38" s="18" t="s">
        <v>35</v>
      </c>
      <c r="H38" s="16" t="n">
        <v>46120</v>
      </c>
      <c r="I38" s="16" t="n">
        <v>46129</v>
      </c>
      <c r="J38" s="16" t="n">
        <v>46128</v>
      </c>
      <c r="K38" s="12"/>
    </row>
    <row r="39" customFormat="false" ht="15" hidden="false" customHeight="true" outlineLevel="0" collapsed="false">
      <c r="A39" s="5" t="s">
        <v>117</v>
      </c>
      <c r="B39" s="6" t="s">
        <v>118</v>
      </c>
      <c r="C39" s="7" t="s">
        <v>59</v>
      </c>
      <c r="D39" s="7" t="s">
        <v>68</v>
      </c>
      <c r="E39" s="7" t="s">
        <v>40</v>
      </c>
      <c r="F39" s="8" t="s">
        <v>18</v>
      </c>
      <c r="G39" s="9" t="s">
        <v>19</v>
      </c>
      <c r="H39" s="10" t="n">
        <v>46120</v>
      </c>
      <c r="I39" s="10" t="n">
        <v>46125</v>
      </c>
      <c r="J39" s="7"/>
      <c r="K39" s="6"/>
    </row>
    <row r="40" customFormat="false" ht="24" hidden="false" customHeight="true" outlineLevel="0" collapsed="false">
      <c r="A40" s="11" t="s">
        <v>119</v>
      </c>
      <c r="B40" s="12" t="s">
        <v>120</v>
      </c>
      <c r="C40" s="13" t="s">
        <v>92</v>
      </c>
      <c r="D40" s="13" t="s">
        <v>22</v>
      </c>
      <c r="E40" s="13" t="s">
        <v>23</v>
      </c>
      <c r="F40" s="21" t="s">
        <v>29</v>
      </c>
      <c r="G40" s="23" t="s">
        <v>76</v>
      </c>
      <c r="H40" s="16" t="n">
        <v>46113</v>
      </c>
      <c r="I40" s="16" t="n">
        <v>46118</v>
      </c>
      <c r="J40" s="13"/>
      <c r="K40" s="12"/>
    </row>
  </sheetData>
  <autoFilter ref="A4:K40"/>
  <mergeCells count="2">
    <mergeCell ref="A1:K1"/>
    <mergeCell ref="A2:K2"/>
  </mergeCells>
  <dataValidations count="2">
    <dataValidation allowBlank="false" error="Please select a valid status" errorStyle="stop" errorTitle="Invalid Status" operator="between" showDropDown="false" showErrorMessage="false" showInputMessage="false" sqref="G5:G200" type="list">
      <formula1>"Not Started,In Progress,In Review,Completed,On Hold"</formula1>
      <formula2>0</formula2>
    </dataValidation>
    <dataValidation allowBlank="false" errorStyle="stop" operator="between" showDropDown="false" showErrorMessage="false" showInputMessage="false" sqref="F5:F200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5"/>
    <col collapsed="false" customWidth="true" hidden="false" outlineLevel="0" max="3" min="3" style="1" width="20"/>
    <col collapsed="false" customWidth="true" hidden="false" outlineLevel="0" max="4" min="4" style="1" width="24"/>
  </cols>
  <sheetData>
    <row r="1" customFormat="false" ht="34.5" hidden="false" customHeight="true" outlineLevel="0" collapsed="false">
      <c r="A1" s="24" t="s">
        <v>121</v>
      </c>
      <c r="B1" s="24"/>
      <c r="C1" s="24"/>
      <c r="D1" s="24"/>
    </row>
    <row r="3" customFormat="false" ht="15" hidden="false" customHeight="true" outlineLevel="0" collapsed="false">
      <c r="A3" s="25" t="s">
        <v>122</v>
      </c>
      <c r="B3" s="25" t="s">
        <v>123</v>
      </c>
      <c r="C3" s="25" t="s">
        <v>124</v>
      </c>
      <c r="D3" s="25" t="s">
        <v>125</v>
      </c>
    </row>
    <row r="4" customFormat="false" ht="15" hidden="false" customHeight="true" outlineLevel="0" collapsed="false">
      <c r="A4" s="7" t="s">
        <v>95</v>
      </c>
      <c r="B4" s="7" t="s">
        <v>126</v>
      </c>
      <c r="C4" s="7" t="s">
        <v>127</v>
      </c>
      <c r="D4" s="26" t="n">
        <v>5</v>
      </c>
    </row>
    <row r="5" customFormat="false" ht="15" hidden="false" customHeight="true" outlineLevel="0" collapsed="false">
      <c r="A5" s="13" t="s">
        <v>43</v>
      </c>
      <c r="B5" s="13" t="s">
        <v>128</v>
      </c>
      <c r="C5" s="13" t="s">
        <v>129</v>
      </c>
      <c r="D5" s="27" t="n">
        <v>5</v>
      </c>
    </row>
    <row r="6" customFormat="false" ht="15" hidden="false" customHeight="true" outlineLevel="0" collapsed="false">
      <c r="A6" s="7" t="s">
        <v>72</v>
      </c>
      <c r="B6" s="7" t="s">
        <v>130</v>
      </c>
      <c r="C6" s="7" t="s">
        <v>131</v>
      </c>
      <c r="D6" s="26" t="n">
        <v>7</v>
      </c>
    </row>
    <row r="7" customFormat="false" ht="15" hidden="false" customHeight="true" outlineLevel="0" collapsed="false">
      <c r="A7" s="13" t="s">
        <v>27</v>
      </c>
      <c r="B7" s="13" t="s">
        <v>132</v>
      </c>
      <c r="C7" s="13" t="s">
        <v>127</v>
      </c>
      <c r="D7" s="27" t="n">
        <v>7</v>
      </c>
    </row>
    <row r="8" customFormat="false" ht="15" hidden="false" customHeight="true" outlineLevel="0" collapsed="false">
      <c r="A8" s="7" t="s">
        <v>64</v>
      </c>
      <c r="B8" s="7" t="s">
        <v>133</v>
      </c>
      <c r="C8" s="7" t="s">
        <v>134</v>
      </c>
      <c r="D8" s="26" t="n">
        <v>7</v>
      </c>
    </row>
    <row r="9" customFormat="false" ht="15" hidden="false" customHeight="true" outlineLevel="0" collapsed="false">
      <c r="A9" s="13" t="s">
        <v>38</v>
      </c>
      <c r="B9" s="13" t="s">
        <v>135</v>
      </c>
      <c r="C9" s="13" t="s">
        <v>136</v>
      </c>
      <c r="D9" s="27" t="n">
        <v>5</v>
      </c>
    </row>
    <row r="10" customFormat="false" ht="15" hidden="false" customHeight="true" outlineLevel="0" collapsed="false">
      <c r="A10" s="7" t="s">
        <v>32</v>
      </c>
      <c r="B10" s="7" t="s">
        <v>137</v>
      </c>
      <c r="C10" s="7" t="s">
        <v>138</v>
      </c>
      <c r="D10" s="26" t="n">
        <v>7</v>
      </c>
    </row>
    <row r="11" customFormat="false" ht="15" hidden="false" customHeight="true" outlineLevel="0" collapsed="false">
      <c r="A11" s="13" t="s">
        <v>92</v>
      </c>
      <c r="B11" s="13" t="s">
        <v>139</v>
      </c>
      <c r="C11" s="13" t="s">
        <v>136</v>
      </c>
      <c r="D11" s="27" t="n">
        <v>4</v>
      </c>
    </row>
    <row r="12" customFormat="false" ht="15" hidden="false" customHeight="true" outlineLevel="0" collapsed="false">
      <c r="A12" s="7" t="s">
        <v>59</v>
      </c>
      <c r="B12" s="7" t="s">
        <v>140</v>
      </c>
      <c r="C12" s="7" t="s">
        <v>134</v>
      </c>
      <c r="D12" s="26" t="n">
        <v>5</v>
      </c>
    </row>
    <row r="13" customFormat="false" ht="15" hidden="false" customHeight="true" outlineLevel="0" collapsed="false">
      <c r="A13" s="13" t="s">
        <v>75</v>
      </c>
      <c r="B13" s="13" t="s">
        <v>141</v>
      </c>
      <c r="C13" s="13" t="s">
        <v>5</v>
      </c>
      <c r="D13" s="27" t="n">
        <v>7</v>
      </c>
    </row>
    <row r="14" customFormat="false" ht="15" hidden="false" customHeight="true" outlineLevel="0" collapsed="false">
      <c r="A14" s="7" t="s">
        <v>15</v>
      </c>
      <c r="B14" s="7" t="s">
        <v>142</v>
      </c>
      <c r="C14" s="7" t="s">
        <v>143</v>
      </c>
      <c r="D14" s="26" t="n">
        <v>4</v>
      </c>
    </row>
    <row r="15" customFormat="false" ht="15" hidden="false" customHeight="true" outlineLevel="0" collapsed="false">
      <c r="A15" s="13" t="s">
        <v>102</v>
      </c>
      <c r="B15" s="13" t="s">
        <v>144</v>
      </c>
      <c r="C15" s="13" t="s">
        <v>145</v>
      </c>
      <c r="D15" s="27" t="n">
        <v>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2"/>
    <col collapsed="false" customWidth="true" hidden="false" outlineLevel="0" max="3" min="3" style="1" width="16"/>
  </cols>
  <sheetData>
    <row r="1" customFormat="false" ht="34.5" hidden="false" customHeight="true" outlineLevel="0" collapsed="false">
      <c r="A1" s="24" t="s">
        <v>146</v>
      </c>
      <c r="B1" s="24"/>
      <c r="C1" s="24"/>
    </row>
    <row r="3" customFormat="false" ht="15" hidden="false" customHeight="true" outlineLevel="0" collapsed="false">
      <c r="A3" s="25" t="s">
        <v>147</v>
      </c>
      <c r="B3" s="25" t="s">
        <v>148</v>
      </c>
      <c r="C3" s="25" t="s">
        <v>8</v>
      </c>
    </row>
    <row r="4" customFormat="false" ht="15" hidden="false" customHeight="true" outlineLevel="0" collapsed="false">
      <c r="A4" s="7" t="s">
        <v>16</v>
      </c>
      <c r="B4" s="7" t="s">
        <v>149</v>
      </c>
      <c r="C4" s="18" t="s">
        <v>150</v>
      </c>
    </row>
    <row r="5" customFormat="false" ht="15" hidden="false" customHeight="true" outlineLevel="0" collapsed="false">
      <c r="A5" s="7" t="s">
        <v>33</v>
      </c>
      <c r="B5" s="7" t="s">
        <v>151</v>
      </c>
      <c r="C5" s="18" t="s">
        <v>150</v>
      </c>
    </row>
    <row r="6" customFormat="false" ht="15" hidden="false" customHeight="true" outlineLevel="0" collapsed="false">
      <c r="A6" s="7" t="s">
        <v>39</v>
      </c>
      <c r="B6" s="7" t="s">
        <v>152</v>
      </c>
      <c r="C6" s="18" t="s">
        <v>150</v>
      </c>
    </row>
    <row r="7" customFormat="false" ht="15" hidden="false" customHeight="true" outlineLevel="0" collapsed="false">
      <c r="A7" s="7" t="s">
        <v>68</v>
      </c>
      <c r="B7" s="7" t="s">
        <v>153</v>
      </c>
      <c r="C7" s="18" t="s">
        <v>150</v>
      </c>
    </row>
    <row r="8" customFormat="false" ht="15" hidden="false" customHeight="true" outlineLevel="0" collapsed="false">
      <c r="A8" s="7" t="s">
        <v>22</v>
      </c>
      <c r="B8" s="7" t="s">
        <v>154</v>
      </c>
      <c r="C8" s="18" t="s">
        <v>150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6" min="2" style="1" width="14"/>
  </cols>
  <sheetData>
    <row r="1" customFormat="false" ht="34.5" hidden="false" customHeight="true" outlineLevel="0" collapsed="false">
      <c r="A1" s="24" t="s">
        <v>155</v>
      </c>
      <c r="B1" s="24"/>
      <c r="C1" s="24"/>
      <c r="D1" s="24"/>
      <c r="E1" s="24"/>
      <c r="F1" s="24"/>
    </row>
    <row r="3" customFormat="false" ht="17.25" hidden="false" customHeight="true" outlineLevel="0" collapsed="false">
      <c r="A3" s="28" t="s">
        <v>156</v>
      </c>
      <c r="B3" s="29" t="n">
        <f aca="false">COUNTA('Task Tracker'!A5:A200)</f>
        <v>36</v>
      </c>
    </row>
    <row r="4" customFormat="false" ht="17.25" hidden="false" customHeight="true" outlineLevel="0" collapsed="false">
      <c r="A4" s="28" t="s">
        <v>35</v>
      </c>
      <c r="B4" s="29" t="n">
        <f aca="false">COUNTIF('Task Tracker'!G5:G200,"Completed")</f>
        <v>10</v>
      </c>
    </row>
    <row r="5" customFormat="false" ht="17.25" hidden="false" customHeight="true" outlineLevel="0" collapsed="false">
      <c r="A5" s="28" t="s">
        <v>19</v>
      </c>
      <c r="B5" s="29" t="n">
        <f aca="false">COUNTIF('Task Tracker'!G5:G200,"In Progress")</f>
        <v>8</v>
      </c>
    </row>
    <row r="6" customFormat="false" ht="17.25" hidden="false" customHeight="true" outlineLevel="0" collapsed="false">
      <c r="A6" s="28" t="s">
        <v>157</v>
      </c>
      <c r="B6" s="29" t="n">
        <f aca="true">COUNTIFS('Task Tracker'!I5:I200,"&lt;"&amp;TODAY(),'Task Tracker'!G5:G200,"&lt;&gt;Completed")</f>
        <v>5</v>
      </c>
    </row>
    <row r="8" customFormat="false" ht="15" hidden="false" customHeight="true" outlineLevel="0" collapsed="false">
      <c r="A8" s="30" t="s">
        <v>158</v>
      </c>
    </row>
    <row r="9" customFormat="false" ht="15" hidden="false" customHeight="true" outlineLevel="0" collapsed="false">
      <c r="A9" s="25" t="s">
        <v>159</v>
      </c>
      <c r="B9" s="25" t="s">
        <v>160</v>
      </c>
      <c r="C9" s="25" t="s">
        <v>24</v>
      </c>
      <c r="D9" s="25" t="s">
        <v>19</v>
      </c>
      <c r="E9" s="25" t="s">
        <v>48</v>
      </c>
      <c r="F9" s="25" t="s">
        <v>35</v>
      </c>
    </row>
    <row r="10" customFormat="false" ht="15" hidden="false" customHeight="true" outlineLevel="0" collapsed="false">
      <c r="A10" s="31" t="s">
        <v>95</v>
      </c>
      <c r="B10" s="26" t="n">
        <f aca="false">COUNTIF('Task Tracker'!C$5:C$200,A10)</f>
        <v>3</v>
      </c>
      <c r="C10" s="26" t="n">
        <f aca="false">COUNTIFS('Task Tracker'!C$5:C$200,A10,'Task Tracker'!G$5:G$200,"Not Started")</f>
        <v>1</v>
      </c>
      <c r="D10" s="26" t="n">
        <f aca="false">COUNTIFS('Task Tracker'!C$5:C$200,A10,'Task Tracker'!G$5:G$200,"In Progress")</f>
        <v>1</v>
      </c>
      <c r="E10" s="26" t="n">
        <f aca="false">COUNTIFS('Task Tracker'!C$5:C$200,A10,'Task Tracker'!G$5:G$200,"In Review")</f>
        <v>0</v>
      </c>
      <c r="F10" s="26" t="n">
        <f aca="false">COUNTIFS('Task Tracker'!C$5:C$200,A10,'Task Tracker'!G$5:G$200,"Completed")</f>
        <v>1</v>
      </c>
    </row>
    <row r="11" customFormat="false" ht="15" hidden="false" customHeight="true" outlineLevel="0" collapsed="false">
      <c r="A11" s="31" t="s">
        <v>43</v>
      </c>
      <c r="B11" s="26" t="n">
        <f aca="false">COUNTIF('Task Tracker'!C$5:C$200,A11)</f>
        <v>3</v>
      </c>
      <c r="C11" s="26" t="n">
        <f aca="false">COUNTIFS('Task Tracker'!C$5:C$200,A11,'Task Tracker'!G$5:G$200,"Not Started")</f>
        <v>2</v>
      </c>
      <c r="D11" s="26" t="n">
        <f aca="false">COUNTIFS('Task Tracker'!C$5:C$200,A11,'Task Tracker'!G$5:G$200,"In Progress")</f>
        <v>0</v>
      </c>
      <c r="E11" s="26" t="n">
        <f aca="false">COUNTIFS('Task Tracker'!C$5:C$200,A11,'Task Tracker'!G$5:G$200,"In Review")</f>
        <v>0</v>
      </c>
      <c r="F11" s="26" t="n">
        <f aca="false">COUNTIFS('Task Tracker'!C$5:C$200,A11,'Task Tracker'!G$5:G$200,"Completed")</f>
        <v>1</v>
      </c>
    </row>
    <row r="12" customFormat="false" ht="15" hidden="false" customHeight="true" outlineLevel="0" collapsed="false">
      <c r="A12" s="31" t="s">
        <v>72</v>
      </c>
      <c r="B12" s="26" t="n">
        <f aca="false">COUNTIF('Task Tracker'!C$5:C$200,A12)</f>
        <v>2</v>
      </c>
      <c r="C12" s="26" t="n">
        <f aca="false">COUNTIFS('Task Tracker'!C$5:C$200,A12,'Task Tracker'!G$5:G$200,"Not Started")</f>
        <v>0</v>
      </c>
      <c r="D12" s="26" t="n">
        <f aca="false">COUNTIFS('Task Tracker'!C$5:C$200,A12,'Task Tracker'!G$5:G$200,"In Progress")</f>
        <v>1</v>
      </c>
      <c r="E12" s="26" t="n">
        <f aca="false">COUNTIFS('Task Tracker'!C$5:C$200,A12,'Task Tracker'!G$5:G$200,"In Review")</f>
        <v>0</v>
      </c>
      <c r="F12" s="26" t="n">
        <f aca="false">COUNTIFS('Task Tracker'!C$5:C$200,A12,'Task Tracker'!G$5:G$200,"Completed")</f>
        <v>1</v>
      </c>
    </row>
    <row r="13" customFormat="false" ht="15" hidden="false" customHeight="true" outlineLevel="0" collapsed="false">
      <c r="A13" s="31" t="s">
        <v>27</v>
      </c>
      <c r="B13" s="26" t="n">
        <f aca="false">COUNTIF('Task Tracker'!C$5:C$200,A13)</f>
        <v>6</v>
      </c>
      <c r="C13" s="26" t="n">
        <f aca="false">COUNTIFS('Task Tracker'!C$5:C$200,A13,'Task Tracker'!G$5:G$200,"Not Started")</f>
        <v>1</v>
      </c>
      <c r="D13" s="26" t="n">
        <f aca="false">COUNTIFS('Task Tracker'!C$5:C$200,A13,'Task Tracker'!G$5:G$200,"In Progress")</f>
        <v>1</v>
      </c>
      <c r="E13" s="26" t="n">
        <f aca="false">COUNTIFS('Task Tracker'!C$5:C$200,A13,'Task Tracker'!G$5:G$200,"In Review")</f>
        <v>2</v>
      </c>
      <c r="F13" s="26" t="n">
        <f aca="false">COUNTIFS('Task Tracker'!C$5:C$200,A13,'Task Tracker'!G$5:G$200,"Completed")</f>
        <v>2</v>
      </c>
    </row>
    <row r="14" customFormat="false" ht="15" hidden="false" customHeight="true" outlineLevel="0" collapsed="false">
      <c r="A14" s="31" t="s">
        <v>64</v>
      </c>
      <c r="B14" s="26" t="n">
        <f aca="false">COUNTIF('Task Tracker'!C$5:C$200,A14)</f>
        <v>1</v>
      </c>
      <c r="C14" s="26" t="n">
        <f aca="false">COUNTIFS('Task Tracker'!C$5:C$200,A14,'Task Tracker'!G$5:G$200,"Not Started")</f>
        <v>0</v>
      </c>
      <c r="D14" s="26" t="n">
        <f aca="false">COUNTIFS('Task Tracker'!C$5:C$200,A14,'Task Tracker'!G$5:G$200,"In Progress")</f>
        <v>0</v>
      </c>
      <c r="E14" s="26" t="n">
        <f aca="false">COUNTIFS('Task Tracker'!C$5:C$200,A14,'Task Tracker'!G$5:G$200,"In Review")</f>
        <v>1</v>
      </c>
      <c r="F14" s="26" t="n">
        <f aca="false">COUNTIFS('Task Tracker'!C$5:C$200,A14,'Task Tracker'!G$5:G$200,"Completed")</f>
        <v>0</v>
      </c>
    </row>
    <row r="15" customFormat="false" ht="15" hidden="false" customHeight="true" outlineLevel="0" collapsed="false">
      <c r="A15" s="31" t="s">
        <v>38</v>
      </c>
      <c r="B15" s="26" t="n">
        <f aca="false">COUNTIF('Task Tracker'!C$5:C$200,A15)</f>
        <v>1</v>
      </c>
      <c r="C15" s="26" t="n">
        <f aca="false">COUNTIFS('Task Tracker'!C$5:C$200,A15,'Task Tracker'!G$5:G$200,"Not Started")</f>
        <v>0</v>
      </c>
      <c r="D15" s="26" t="n">
        <f aca="false">COUNTIFS('Task Tracker'!C$5:C$200,A15,'Task Tracker'!G$5:G$200,"In Progress")</f>
        <v>0</v>
      </c>
      <c r="E15" s="26" t="n">
        <f aca="false">COUNTIFS('Task Tracker'!C$5:C$200,A15,'Task Tracker'!G$5:G$200,"In Review")</f>
        <v>0</v>
      </c>
      <c r="F15" s="26" t="n">
        <f aca="false">COUNTIFS('Task Tracker'!C$5:C$200,A15,'Task Tracker'!G$5:G$200,"Completed")</f>
        <v>1</v>
      </c>
    </row>
    <row r="16" customFormat="false" ht="15" hidden="false" customHeight="true" outlineLevel="0" collapsed="false">
      <c r="A16" s="31" t="s">
        <v>32</v>
      </c>
      <c r="B16" s="26" t="n">
        <f aca="false">COUNTIF('Task Tracker'!C$5:C$200,A16)</f>
        <v>4</v>
      </c>
      <c r="C16" s="26" t="n">
        <f aca="false">COUNTIFS('Task Tracker'!C$5:C$200,A16,'Task Tracker'!G$5:G$200,"Not Started")</f>
        <v>0</v>
      </c>
      <c r="D16" s="26" t="n">
        <f aca="false">COUNTIFS('Task Tracker'!C$5:C$200,A16,'Task Tracker'!G$5:G$200,"In Progress")</f>
        <v>1</v>
      </c>
      <c r="E16" s="26" t="n">
        <f aca="false">COUNTIFS('Task Tracker'!C$5:C$200,A16,'Task Tracker'!G$5:G$200,"In Review")</f>
        <v>2</v>
      </c>
      <c r="F16" s="26" t="n">
        <f aca="false">COUNTIFS('Task Tracker'!C$5:C$200,A16,'Task Tracker'!G$5:G$200,"Completed")</f>
        <v>1</v>
      </c>
    </row>
    <row r="17" customFormat="false" ht="15" hidden="false" customHeight="true" outlineLevel="0" collapsed="false">
      <c r="A17" s="31" t="s">
        <v>92</v>
      </c>
      <c r="B17" s="26" t="n">
        <f aca="false">COUNTIF('Task Tracker'!C$5:C$200,A17)</f>
        <v>4</v>
      </c>
      <c r="C17" s="26" t="n">
        <f aca="false">COUNTIFS('Task Tracker'!C$5:C$200,A17,'Task Tracker'!G$5:G$200,"Not Started")</f>
        <v>0</v>
      </c>
      <c r="D17" s="26" t="n">
        <f aca="false">COUNTIFS('Task Tracker'!C$5:C$200,A17,'Task Tracker'!G$5:G$200,"In Progress")</f>
        <v>1</v>
      </c>
      <c r="E17" s="26" t="n">
        <f aca="false">COUNTIFS('Task Tracker'!C$5:C$200,A17,'Task Tracker'!G$5:G$200,"In Review")</f>
        <v>1</v>
      </c>
      <c r="F17" s="26" t="n">
        <f aca="false">COUNTIFS('Task Tracker'!C$5:C$200,A17,'Task Tracker'!G$5:G$200,"Completed")</f>
        <v>1</v>
      </c>
    </row>
    <row r="18" customFormat="false" ht="15" hidden="false" customHeight="true" outlineLevel="0" collapsed="false">
      <c r="A18" s="31" t="s">
        <v>59</v>
      </c>
      <c r="B18" s="26" t="n">
        <f aca="false">COUNTIF('Task Tracker'!C$5:C$200,A18)</f>
        <v>7</v>
      </c>
      <c r="C18" s="26" t="n">
        <f aca="false">COUNTIFS('Task Tracker'!C$5:C$200,A18,'Task Tracker'!G$5:G$200,"Not Started")</f>
        <v>0</v>
      </c>
      <c r="D18" s="26" t="n">
        <f aca="false">COUNTIFS('Task Tracker'!C$5:C$200,A18,'Task Tracker'!G$5:G$200,"In Progress")</f>
        <v>2</v>
      </c>
      <c r="E18" s="26" t="n">
        <f aca="false">COUNTIFS('Task Tracker'!C$5:C$200,A18,'Task Tracker'!G$5:G$200,"In Review")</f>
        <v>1</v>
      </c>
      <c r="F18" s="26" t="n">
        <f aca="false">COUNTIFS('Task Tracker'!C$5:C$200,A18,'Task Tracker'!G$5:G$200,"Completed")</f>
        <v>2</v>
      </c>
    </row>
    <row r="19" customFormat="false" ht="15" hidden="false" customHeight="true" outlineLevel="0" collapsed="false">
      <c r="A19" s="31" t="s">
        <v>75</v>
      </c>
      <c r="B19" s="26" t="n">
        <f aca="false">COUNTIF('Task Tracker'!C$5:C$200,A19)</f>
        <v>2</v>
      </c>
      <c r="C19" s="26" t="n">
        <f aca="false">COUNTIFS('Task Tracker'!C$5:C$200,A19,'Task Tracker'!G$5:G$200,"Not Started")</f>
        <v>0</v>
      </c>
      <c r="D19" s="26" t="n">
        <f aca="false">COUNTIFS('Task Tracker'!C$5:C$200,A19,'Task Tracker'!G$5:G$200,"In Progress")</f>
        <v>0</v>
      </c>
      <c r="E19" s="26" t="n">
        <f aca="false">COUNTIFS('Task Tracker'!C$5:C$200,A19,'Task Tracker'!G$5:G$200,"In Review")</f>
        <v>0</v>
      </c>
      <c r="F19" s="26" t="n">
        <f aca="false">COUNTIFS('Task Tracker'!C$5:C$200,A19,'Task Tracker'!G$5:G$200,"Completed")</f>
        <v>0</v>
      </c>
    </row>
    <row r="20" customFormat="false" ht="15" hidden="false" customHeight="true" outlineLevel="0" collapsed="false">
      <c r="A20" s="31" t="s">
        <v>15</v>
      </c>
      <c r="B20" s="26" t="n">
        <f aca="false">COUNTIF('Task Tracker'!C$5:C$200,A20)</f>
        <v>2</v>
      </c>
      <c r="C20" s="26" t="n">
        <f aca="false">COUNTIFS('Task Tracker'!C$5:C$200,A20,'Task Tracker'!G$5:G$200,"Not Started")</f>
        <v>1</v>
      </c>
      <c r="D20" s="26" t="n">
        <f aca="false">COUNTIFS('Task Tracker'!C$5:C$200,A20,'Task Tracker'!G$5:G$200,"In Progress")</f>
        <v>1</v>
      </c>
      <c r="E20" s="26" t="n">
        <f aca="false">COUNTIFS('Task Tracker'!C$5:C$200,A20,'Task Tracker'!G$5:G$200,"In Review")</f>
        <v>0</v>
      </c>
      <c r="F20" s="26" t="n">
        <f aca="false">COUNTIFS('Task Tracker'!C$5:C$200,A20,'Task Tracker'!G$5:G$200,"Completed")</f>
        <v>0</v>
      </c>
    </row>
    <row r="21" customFormat="false" ht="15" hidden="false" customHeight="true" outlineLevel="0" collapsed="false">
      <c r="A21" s="31" t="s">
        <v>102</v>
      </c>
      <c r="B21" s="26" t="n">
        <f aca="false">COUNTIF('Task Tracker'!C$5:C$200,A21)</f>
        <v>1</v>
      </c>
      <c r="C21" s="26" t="n">
        <f aca="false">COUNTIFS('Task Tracker'!C$5:C$200,A21,'Task Tracker'!G$5:G$200,"Not Started")</f>
        <v>0</v>
      </c>
      <c r="D21" s="26" t="n">
        <f aca="false">COUNTIFS('Task Tracker'!C$5:C$200,A21,'Task Tracker'!G$5:G$200,"In Progress")</f>
        <v>0</v>
      </c>
      <c r="E21" s="26" t="n">
        <f aca="false">COUNTIFS('Task Tracker'!C$5:C$200,A21,'Task Tracker'!G$5:G$200,"In Review")</f>
        <v>1</v>
      </c>
      <c r="F21" s="26" t="n">
        <f aca="false">COUNTIFS('Task Tracker'!C$5:C$200,A21,'Task Tracker'!G$5:G$200,"Completed")</f>
        <v>0</v>
      </c>
    </row>
    <row r="24" customFormat="false" ht="15" hidden="false" customHeight="true" outlineLevel="0" collapsed="false">
      <c r="A24" s="30" t="s">
        <v>161</v>
      </c>
    </row>
    <row r="25" customFormat="false" ht="15" hidden="false" customHeight="true" outlineLevel="0" collapsed="false">
      <c r="A25" s="25" t="s">
        <v>5</v>
      </c>
      <c r="B25" s="25" t="s">
        <v>160</v>
      </c>
      <c r="C25" s="25" t="s">
        <v>24</v>
      </c>
      <c r="D25" s="25" t="s">
        <v>19</v>
      </c>
      <c r="E25" s="25" t="s">
        <v>48</v>
      </c>
      <c r="F25" s="25" t="s">
        <v>35</v>
      </c>
    </row>
    <row r="26" customFormat="false" ht="15" hidden="false" customHeight="true" outlineLevel="0" collapsed="false">
      <c r="A26" s="31" t="s">
        <v>16</v>
      </c>
      <c r="B26" s="26" t="n">
        <f aca="false">COUNTIF('Task Tracker'!D$5:D$200,A26)</f>
        <v>9</v>
      </c>
      <c r="C26" s="26" t="n">
        <f aca="false">COUNTIFS('Task Tracker'!D$5:D$200,A26,'Task Tracker'!G$5:G$200,"Not Started")</f>
        <v>1</v>
      </c>
      <c r="D26" s="26" t="n">
        <f aca="false">COUNTIFS('Task Tracker'!D$5:D$200,A26,'Task Tracker'!G$5:G$200,"In Progress")</f>
        <v>2</v>
      </c>
      <c r="E26" s="26" t="n">
        <f aca="false">COUNTIFS('Task Tracker'!D$5:D$200,A26,'Task Tracker'!G$5:G$200,"In Review")</f>
        <v>2</v>
      </c>
      <c r="F26" s="26" t="n">
        <f aca="false">COUNTIFS('Task Tracker'!D$5:D$200,A26,'Task Tracker'!G$5:G$200,"Completed")</f>
        <v>3</v>
      </c>
    </row>
    <row r="27" customFormat="false" ht="15" hidden="false" customHeight="true" outlineLevel="0" collapsed="false">
      <c r="A27" s="31" t="s">
        <v>33</v>
      </c>
      <c r="B27" s="26" t="n">
        <f aca="false">COUNTIF('Task Tracker'!D$5:D$200,A27)</f>
        <v>7</v>
      </c>
      <c r="C27" s="26" t="n">
        <f aca="false">COUNTIFS('Task Tracker'!D$5:D$200,A27,'Task Tracker'!G$5:G$200,"Not Started")</f>
        <v>1</v>
      </c>
      <c r="D27" s="26" t="n">
        <f aca="false">COUNTIFS('Task Tracker'!D$5:D$200,A27,'Task Tracker'!G$5:G$200,"In Progress")</f>
        <v>2</v>
      </c>
      <c r="E27" s="26" t="n">
        <f aca="false">COUNTIFS('Task Tracker'!D$5:D$200,A27,'Task Tracker'!G$5:G$200,"In Review")</f>
        <v>1</v>
      </c>
      <c r="F27" s="26" t="n">
        <f aca="false">COUNTIFS('Task Tracker'!D$5:D$200,A27,'Task Tracker'!G$5:G$200,"Completed")</f>
        <v>2</v>
      </c>
    </row>
    <row r="28" customFormat="false" ht="15" hidden="false" customHeight="true" outlineLevel="0" collapsed="false">
      <c r="A28" s="31" t="s">
        <v>39</v>
      </c>
      <c r="B28" s="26" t="n">
        <f aca="false">COUNTIF('Task Tracker'!D$5:D$200,A28)</f>
        <v>9</v>
      </c>
      <c r="C28" s="26" t="n">
        <f aca="false">COUNTIFS('Task Tracker'!D$5:D$200,A28,'Task Tracker'!G$5:G$200,"Not Started")</f>
        <v>2</v>
      </c>
      <c r="D28" s="26" t="n">
        <f aca="false">COUNTIFS('Task Tracker'!D$5:D$200,A28,'Task Tracker'!G$5:G$200,"In Progress")</f>
        <v>2</v>
      </c>
      <c r="E28" s="26" t="n">
        <f aca="false">COUNTIFS('Task Tracker'!D$5:D$200,A28,'Task Tracker'!G$5:G$200,"In Review")</f>
        <v>2</v>
      </c>
      <c r="F28" s="26" t="n">
        <f aca="false">COUNTIFS('Task Tracker'!D$5:D$200,A28,'Task Tracker'!G$5:G$200,"Completed")</f>
        <v>3</v>
      </c>
    </row>
    <row r="29" customFormat="false" ht="15" hidden="false" customHeight="true" outlineLevel="0" collapsed="false">
      <c r="A29" s="31" t="s">
        <v>68</v>
      </c>
      <c r="B29" s="26" t="n">
        <f aca="false">COUNTIF('Task Tracker'!D$5:D$200,A29)</f>
        <v>6</v>
      </c>
      <c r="C29" s="26" t="n">
        <f aca="false">COUNTIFS('Task Tracker'!D$5:D$200,A29,'Task Tracker'!G$5:G$200,"Not Started")</f>
        <v>0</v>
      </c>
      <c r="D29" s="26" t="n">
        <f aca="false">COUNTIFS('Task Tracker'!D$5:D$200,A29,'Task Tracker'!G$5:G$200,"In Progress")</f>
        <v>1</v>
      </c>
      <c r="E29" s="26" t="n">
        <f aca="false">COUNTIFS('Task Tracker'!D$5:D$200,A29,'Task Tracker'!G$5:G$200,"In Review")</f>
        <v>3</v>
      </c>
      <c r="F29" s="26" t="n">
        <f aca="false">COUNTIFS('Task Tracker'!D$5:D$200,A29,'Task Tracker'!G$5:G$200,"Completed")</f>
        <v>1</v>
      </c>
    </row>
    <row r="30" customFormat="false" ht="15" hidden="false" customHeight="true" outlineLevel="0" collapsed="false">
      <c r="A30" s="31" t="s">
        <v>22</v>
      </c>
      <c r="B30" s="26" t="n">
        <f aca="false">COUNTIF('Task Tracker'!D$5:D$200,A30)</f>
        <v>5</v>
      </c>
      <c r="C30" s="26" t="n">
        <f aca="false">COUNTIFS('Task Tracker'!D$5:D$200,A30,'Task Tracker'!G$5:G$200,"Not Started")</f>
        <v>1</v>
      </c>
      <c r="D30" s="26" t="n">
        <f aca="false">COUNTIFS('Task Tracker'!D$5:D$200,A30,'Task Tracker'!G$5:G$200,"In Progress")</f>
        <v>1</v>
      </c>
      <c r="E30" s="26" t="n">
        <f aca="false">COUNTIFS('Task Tracker'!D$5:D$200,A30,'Task Tracker'!G$5:G$200,"In Review")</f>
        <v>0</v>
      </c>
      <c r="F30" s="26" t="n">
        <f aca="false">COUNTIFS('Task Tracker'!D$5:D$200,A30,'Task Tracker'!G$5:G$200,"Completed")</f>
        <v>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2026-04-17T07:30:34Z</dcterms:created>
  <dc:creator>openpyxl</dc:creator>
  <dc:description/>
  <dc:language>en-US</dc:language>
  <cp:lastModifiedBy/>
  <dcterms:modified xsi:type="dcterms:W3CDTF">2026-04-17T07:32:53Z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